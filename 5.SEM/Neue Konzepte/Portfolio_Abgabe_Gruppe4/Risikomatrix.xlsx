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worksite-my.sharepoint.com/personal/duongtiq_schaeffler_com/Documents/DHBW Mannheim/5.SEM/Neue Konzepte/Portfolio_Abgabe_Gruppe4/"/>
    </mc:Choice>
  </mc:AlternateContent>
  <xr:revisionPtr revIDLastSave="1" documentId="8_{97A5D32E-E58C-45E3-97F9-0C056635DE8E}" xr6:coauthVersionLast="47" xr6:coauthVersionMax="47" xr10:uidLastSave="{12FF7182-2BAC-40DE-967A-1DE4655ED1FE}"/>
  <bookViews>
    <workbookView xWindow="-108" yWindow="-108" windowWidth="23256" windowHeight="12456" tabRatio="500" activeTab="1" xr2:uid="{00000000-000D-0000-FFFF-FFFF00000000}"/>
  </bookViews>
  <sheets>
    <sheet name="Risikomatrix" sheetId="1" r:id="rId1"/>
    <sheet name="Annahmen &amp; Quellen" sheetId="2" r:id="rId2"/>
  </sheets>
  <definedNames>
    <definedName name="_xlnm._FilterDatabase" localSheetId="0" hidden="1">Risikomatrix!$A$1:$I$7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" i="1" l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2" authorId="0" shapeId="0" xr:uid="{00000000-0006-0000-0000-000001000000}">
      <text>
        <r>
          <rPr>
            <sz val="10"/>
            <rFont val="Arial"/>
            <family val="2"/>
          </rPr>
          <t>Berechnung mit den Annahmen im Blatt 'Annahmen &amp; Quellen'. Geschätzter Schaden im 1. Jahr.</t>
        </r>
      </text>
    </comment>
    <comment ref="F3" authorId="0" shapeId="0" xr:uid="{00000000-0006-0000-0000-000002000000}">
      <text>
        <r>
          <rPr>
            <sz val="10"/>
            <rFont val="Arial"/>
            <family val="2"/>
          </rPr>
          <t>Berechnung mit den Annahmen im Blatt 'Annahmen &amp; Quellen'. Geschätzter Schaden im 1. Jahr.</t>
        </r>
      </text>
    </comment>
    <comment ref="F4" authorId="0" shapeId="0" xr:uid="{00000000-0006-0000-0000-000003000000}">
      <text>
        <r>
          <rPr>
            <sz val="10"/>
            <rFont val="Arial"/>
            <family val="2"/>
          </rPr>
          <t>Berechnung mit den Annahmen im Blatt 'Annahmen &amp; Quellen'. Geschätzter Schaden im 1. Jahr.</t>
        </r>
      </text>
    </comment>
    <comment ref="F5" authorId="0" shapeId="0" xr:uid="{00000000-0006-0000-0000-000004000000}">
      <text>
        <r>
          <rPr>
            <sz val="10"/>
            <rFont val="Arial"/>
            <family val="2"/>
          </rPr>
          <t>Berechnung mit den Annahmen im Blatt 'Annahmen &amp; Quellen'. Geschätzter Schaden im 1. Jahr.</t>
        </r>
      </text>
    </comment>
    <comment ref="F6" authorId="0" shapeId="0" xr:uid="{00000000-0006-0000-0000-000005000000}">
      <text>
        <r>
          <rPr>
            <sz val="10"/>
            <rFont val="Arial"/>
            <family val="2"/>
          </rPr>
          <t>Berechnung mit den Annahmen im Blatt 'Annahmen &amp; Quellen'. Geschätzter Schaden im 1. Jahr.</t>
        </r>
      </text>
    </comment>
    <comment ref="F7" authorId="0" shapeId="0" xr:uid="{00000000-0006-0000-0000-000006000000}">
      <text>
        <r>
          <rPr>
            <sz val="10"/>
            <rFont val="Arial"/>
            <family val="2"/>
          </rPr>
          <t>Berechnung mit den Annahmen im Blatt 'Annahmen &amp; Quellen'. Geschätzter Schaden im 1. Jahr.</t>
        </r>
      </text>
    </comment>
  </commentList>
</comments>
</file>

<file path=xl/sharedStrings.xml><?xml version="1.0" encoding="utf-8"?>
<sst xmlns="http://schemas.openxmlformats.org/spreadsheetml/2006/main" count="130" uniqueCount="111">
  <si>
    <t>Nr</t>
  </si>
  <si>
    <t>Risiko</t>
  </si>
  <si>
    <t>Beschreibung</t>
  </si>
  <si>
    <t>Verantwortlich</t>
  </si>
  <si>
    <t>Stakeholder</t>
  </si>
  <si>
    <t>Kosten</t>
  </si>
  <si>
    <t>Auswirkung</t>
  </si>
  <si>
    <t>Wahrscheinlichkeit</t>
  </si>
  <si>
    <t>Maßnahmen</t>
  </si>
  <si>
    <t>Datenschutz-, DSGVO- &amp; Aufzeichnungshürden</t>
  </si>
  <si>
    <t>Projektteam</t>
  </si>
  <si>
    <t>Hoch: Produkt darf ggf. nicht genutzt werden; Bußgeldrisiko und Vertrauensverlust</t>
  </si>
  <si>
    <t>Vorgefertigte Einwilligungstexte, gezielte Sprachtrennung (nur Stimme des Vortragenden verarbeiten)</t>
  </si>
  <si>
    <t>Audioqualität</t>
  </si>
  <si>
    <t>BE-Team</t>
  </si>
  <si>
    <t>Mittel bis hoch: Output unbrauchbar, Kunden verlieren Vertrauen und kündigen</t>
  </si>
  <si>
    <t>Audio-Preprocessing &amp; Rauschfilter</t>
  </si>
  <si>
    <t>Unkontrollierter Token-Verbrauch (LLM-Loops)</t>
  </si>
  <si>
    <t>Mittel: unerwartet hohe API-Rechnung, Budget/Runway schrumpft</t>
  </si>
  <si>
    <t>Strikte Retry-Limits im Code</t>
  </si>
  <si>
    <t>Saisonaler Churn durch Semesterpausen</t>
  </si>
  <si>
    <t>PM/PO</t>
  </si>
  <si>
    <t>Mittel: Umsatzeinbruch in den Pausen, schwankender Cashflow</t>
  </si>
  <si>
    <t>Integrierter Pausen-Modus, attraktive Jahrestarife</t>
  </si>
  <si>
    <t>Fehlende Nutzerakzeptanz seitens der Studierenden</t>
  </si>
  <si>
    <t>UI/UX, FE-Team und PO</t>
  </si>
  <si>
    <t>Studierende/Teilnehmende, Trainer/Dozenten (Kunden)</t>
  </si>
  <si>
    <t>Mittel: geringer Mehrwert für Kunden, Kündigungen</t>
  </si>
  <si>
    <t>Keine Accounts erforderlich, Zugang per QR-Code</t>
  </si>
  <si>
    <t>Nice-to-Have-Dilemma &amp; fehlender direkter Anreiz</t>
  </si>
  <si>
    <t>Trainer/Dozenten (Kunden), Auftraggeber/HR-Abteilungen</t>
  </si>
  <si>
    <t>Hoch: zu wenig zahlende Kunden, Geschäftsmodell trägt nicht</t>
  </si>
  <si>
    <t>Wirkungsreport für die HR-Abteilung, Export von Fragensets &amp; Skripten</t>
  </si>
  <si>
    <t>Parameter</t>
  </si>
  <si>
    <t>Wert</t>
  </si>
  <si>
    <t>Einheit</t>
  </si>
  <si>
    <t>Quelle / Begründung</t>
  </si>
  <si>
    <t>Genutzt für Risiko</t>
  </si>
  <si>
    <t>Interner Tagessatz Entwicklung</t>
  </si>
  <si>
    <t>€/Tag</t>
  </si>
  <si>
    <t>Eigene Annahme des Teams (kalkulatorischer Tagessatz für Entwicklungszeit).</t>
  </si>
  <si>
    <t>1, 2</t>
  </si>
  <si>
    <t>Externe Datenschutz-Rechtsberatung (Einwilligungstexte, AV-Vertrag)</t>
  </si>
  <si>
    <t>€ einmalig</t>
  </si>
  <si>
    <t>1</t>
  </si>
  <si>
    <t>Entwicklertage Umbau Einwilligung &amp; Sprachtrennung</t>
  </si>
  <si>
    <t>Tage</t>
  </si>
  <si>
    <t>Eigene Annahme (Maßnahme aus Folie 'Projektrisiken').</t>
  </si>
  <si>
    <t>Planungsbasis: zahlende Nutzer im 1. Jahr</t>
  </si>
  <si>
    <t>Nutzer</t>
  </si>
  <si>
    <t>2, 4, 5, 6</t>
  </si>
  <si>
    <t>Abo-Preis pro Nutzer</t>
  </si>
  <si>
    <t>€/Monat</t>
  </si>
  <si>
    <t>Entwicklertage Audio-Preprocessing &amp; Rauschfilter</t>
  </si>
  <si>
    <t>2</t>
  </si>
  <si>
    <t>Anteil Kunden, die wegen schlechter Transkripte kündigen</t>
  </si>
  <si>
    <t>%</t>
  </si>
  <si>
    <t>Eigene Annahme.</t>
  </si>
  <si>
    <t>Kosten pro LLM-Aufruf (100K Input- / 20K Output-Token, Claude Sonnet 4.6)</t>
  </si>
  <si>
    <t>USD/Aufruf</t>
  </si>
  <si>
    <t>anotherwrapper.com/tools/llm-pricing/claude-sonnet-4-6 (Stand 04.09.2026): 3 $/Mio. Input, 15 $/Mio. Output, typische 100K/20K-Anfrage ≈ 0,60 $. Offizielle Preisliste: platform.claude.com/docs/en/about-claude/pricing</t>
  </si>
  <si>
    <t>3</t>
  </si>
  <si>
    <t>LLM-Aufrufe pro Stunde in einer Endlosschleife</t>
  </si>
  <si>
    <t>Aufrufe/h</t>
  </si>
  <si>
    <t>Eigene Annahme (1 Aufruf alle 10 Sekunden).</t>
  </si>
  <si>
    <t>Stunden, bis die Schleife bemerkt wird</t>
  </si>
  <si>
    <t>h</t>
  </si>
  <si>
    <t>Eigene Annahme (z. B. über Nacht, ohne Monitoring).</t>
  </si>
  <si>
    <t>Wechselkurs USD → EUR</t>
  </si>
  <si>
    <t>€ je $</t>
  </si>
  <si>
    <t>Anteil Kunden, die in der Semesterpause pausieren/kündigen</t>
  </si>
  <si>
    <t>4</t>
  </si>
  <si>
    <t>Monate pro Semesterpause</t>
  </si>
  <si>
    <t>Monate</t>
  </si>
  <si>
    <t>karrierebibel.de/semesterferien: vorlesungsfreie Zeit dauert in der Regel 6–8 Wochen (≈ 2 Monate).</t>
  </si>
  <si>
    <t>Semesterpausen pro Jahr</t>
  </si>
  <si>
    <t>Anzahl</t>
  </si>
  <si>
    <t>uni-regensburg.de (Semesterkalender): Studienjahr besteht aus Winter- und Sommersemester, jeweils mit vorlesungsfreier Zeit.</t>
  </si>
  <si>
    <t>Anteil Kunden verloren durch fehlende Akzeptanz der Studierenden</t>
  </si>
  <si>
    <t>5</t>
  </si>
  <si>
    <t>Anteil Kunden ohne Zahlungsbereitschaft (Nice-to-have)</t>
  </si>
  <si>
    <t>6</t>
  </si>
  <si>
    <t>Zusatzinfos (nicht in die Kosten eingerechnet)</t>
  </si>
  <si>
    <t>Max. DSGVO-Bußgeld</t>
  </si>
  <si>
    <t>bis 20 Mio. € oder 4 % des weltweiten Jahresumsatzes (der höhere Wert gilt)</t>
  </si>
  <si>
    <t>Art. 83 Abs. 5 DSGVO – gesellschaft-datenschutz.de/dsgvo/art-83-dsgvo/. Extremfall, daher nicht in 'Kosten' eingerechnet.</t>
  </si>
  <si>
    <t>Transkriptionskosten (Neuverarbeitung bei Audio-Problemen)</t>
  </si>
  <si>
    <t>ca. 0,003–0,006 USD pro Audiominute</t>
  </si>
  <si>
    <t>Wie wurde die Wahrscheinlichkeit bestimmt?</t>
  </si>
  <si>
    <t>Gering ≈ 10–30 %, Mittel ≈ 31–60 %, Hoch ≈ 61–90 %</t>
  </si>
  <si>
    <t>Abgeleitet aus der Position des Risikos in euren Matrix-Folien (Achse 'Eintrittswahrscheinlichkeit'). Prozentwerte sind Einschätzung des Teams, keine gemessenen Daten.</t>
  </si>
  <si>
    <t>Was bedeutet 'Kosten'?</t>
  </si>
  <si>
    <t>Geschätzter Schaden im 1. Jahr, falls das Risiko eintritt</t>
  </si>
  <si>
    <t>Formel steht in jeder Kosten-Zelle der Risikomatrix (Zelle anklicken).</t>
  </si>
  <si>
    <t>Trainer/Dozenten, Teilnehmende, Datenschutz-Aufsichtsbehörde</t>
  </si>
  <si>
    <t>Trainer/Dozenten,Teilnehmende</t>
  </si>
  <si>
    <t>Projektteam, Investoren</t>
  </si>
  <si>
    <t xml:space="preserve">Dozenten </t>
  </si>
  <si>
    <t>Aufnahmen enthalten Stimmen von Teilnehmenden. Ohne saubere Einwilligung darf nicht aufgezeichnet/verarbeitet werden.</t>
  </si>
  <si>
    <t>Schlechte Mikrofone, Hall oder Störgeräusche führen zu fehlerhaften Transkripten und damit zu falschen Skripten/Quizfragen.</t>
  </si>
  <si>
    <t>Fehlerhafte Wiederholungsschleifen rufen das Sprachmodell immer wieder auf und erzeugen hohe API-Kosten.</t>
  </si>
  <si>
    <t>In der vorlesungsfreien Zeit brauchen Dozenten das Tool nicht und kündigen oder pausieren das Abo.</t>
  </si>
  <si>
    <t>Ohne klaren Nutzen fehlt die Zahlungsbereitschaft.</t>
  </si>
  <si>
    <t>Studierende/Teilnehmende nutzen Skript und Quiz nicht (z. B. wegen Registrierungshürden). Dann sieht der Dozent keinen Nutzen.</t>
  </si>
  <si>
    <t>Blaue Zahlen = Annahmen</t>
  </si>
  <si>
    <t xml:space="preserve">Eigene Annahme </t>
  </si>
  <si>
    <t>Eigene Annahme: Planungsgröße (SOM)</t>
  </si>
  <si>
    <t>Eigene Annahme, laut Start-up-Plan ist der Preis noch offen.</t>
  </si>
  <si>
    <t>Eigene Annahme</t>
  </si>
  <si>
    <t>costbench.com/software/ai-transcription-apis/openai-whisper/ (Stand März 2026). Neuverarbeitung ist also billig , die Hauptkosten bei Risiko 2 sind Entwicklung + Kundenverlust.</t>
  </si>
  <si>
    <t xml:space="preserve">Annahmen &amp; Quellen zur Risikomatrix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</si>
</sst>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€&quot;"/>
    <numFmt numFmtId="165" formatCode="#,##0&quot; €&quot;"/>
  </numFmts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9"/>
      <name val="Arial"/>
      <charset val="1"/>
    </font>
    <font>
      <sz val="10"/>
      <name val="Arial"/>
      <family val="2"/>
    </font>
    <font>
      <b/>
      <sz val="13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B4C6E7"/>
        <bgColor rgb="FF99CCFF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4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top" wrapText="1"/>
    </xf>
    <xf numFmtId="164" fontId="2" fillId="3" borderId="1" xfId="0" applyNumberFormat="1" applyFont="1" applyFill="1" applyBorder="1" applyAlignment="1">
      <alignment horizontal="right" vertical="top"/>
    </xf>
    <xf numFmtId="9" fontId="2" fillId="3" borderId="1" xfId="0" applyNumberFormat="1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164" fontId="2" fillId="4" borderId="1" xfId="0" applyNumberFormat="1" applyFont="1" applyFill="1" applyBorder="1" applyAlignment="1">
      <alignment horizontal="right" vertical="top"/>
    </xf>
    <xf numFmtId="9" fontId="2" fillId="4" borderId="1" xfId="0" applyNumberFormat="1" applyFont="1" applyFill="1" applyBorder="1" applyAlignment="1">
      <alignment horizontal="center" vertical="top" wrapText="1"/>
    </xf>
    <xf numFmtId="0" fontId="3" fillId="0" borderId="0" xfId="0" applyFont="1"/>
    <xf numFmtId="0" fontId="5" fillId="0" borderId="0" xfId="0" applyFont="1"/>
    <xf numFmtId="0" fontId="1" fillId="2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vertical="top" wrapText="1"/>
    </xf>
    <xf numFmtId="165" fontId="7" fillId="3" borderId="1" xfId="0" applyNumberFormat="1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vertical="top" wrapText="1"/>
    </xf>
    <xf numFmtId="165" fontId="7" fillId="4" borderId="1" xfId="0" applyNumberFormat="1" applyFont="1" applyFill="1" applyBorder="1" applyAlignment="1">
      <alignment horizontal="center" vertical="top" wrapText="1"/>
    </xf>
    <xf numFmtId="3" fontId="7" fillId="3" borderId="1" xfId="0" applyNumberFormat="1" applyFont="1" applyFill="1" applyBorder="1" applyAlignment="1">
      <alignment horizontal="center" vertical="top" wrapText="1"/>
    </xf>
    <xf numFmtId="3" fontId="7" fillId="4" borderId="1" xfId="0" applyNumberFormat="1" applyFont="1" applyFill="1" applyBorder="1" applyAlignment="1">
      <alignment horizontal="center" vertical="top" wrapText="1"/>
    </xf>
    <xf numFmtId="9" fontId="7" fillId="3" borderId="1" xfId="0" applyNumberFormat="1" applyFont="1" applyFill="1" applyBorder="1" applyAlignment="1">
      <alignment horizontal="center" vertical="top" wrapText="1"/>
    </xf>
    <xf numFmtId="2" fontId="7" fillId="4" borderId="1" xfId="0" applyNumberFormat="1" applyFont="1" applyFill="1" applyBorder="1" applyAlignment="1">
      <alignment horizontal="center" vertical="top" wrapText="1"/>
    </xf>
    <xf numFmtId="2" fontId="7" fillId="3" borderId="1" xfId="0" applyNumberFormat="1" applyFont="1" applyFill="1" applyBorder="1" applyAlignment="1">
      <alignment horizontal="center" vertical="top" wrapText="1"/>
    </xf>
    <xf numFmtId="9" fontId="7" fillId="4" borderId="1" xfId="0" applyNumberFormat="1" applyFont="1" applyFill="1" applyBorder="1" applyAlignment="1">
      <alignment horizontal="center" vertical="top" wrapText="1"/>
    </xf>
    <xf numFmtId="0" fontId="8" fillId="0" borderId="0" xfId="0" applyFont="1"/>
    <xf numFmtId="0" fontId="0" fillId="3" borderId="0" xfId="0" applyFill="1"/>
    <xf numFmtId="0" fontId="0" fillId="4" borderId="0" xfId="0" applyFill="1"/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zoomScale="90" zoomScaleNormal="100" workbookViewId="0">
      <pane ySplit="1" topLeftCell="A4" activePane="bottomLeft" state="frozen"/>
      <selection pane="bottomLeft" activeCell="F7" sqref="F7"/>
    </sheetView>
  </sheetViews>
  <sheetFormatPr defaultColWidth="8.6640625" defaultRowHeight="14.4" x14ac:dyDescent="0.3"/>
  <cols>
    <col min="1" max="1" width="5" customWidth="1"/>
    <col min="2" max="2" width="24" customWidth="1"/>
    <col min="3" max="3" width="42" customWidth="1"/>
    <col min="4" max="4" width="12.109375" customWidth="1"/>
    <col min="5" max="5" width="16.21875" customWidth="1"/>
    <col min="6" max="6" width="11.5546875" customWidth="1"/>
    <col min="7" max="7" width="26.33203125" customWidth="1"/>
    <col min="8" max="8" width="10.21875" customWidth="1"/>
    <col min="9" max="9" width="27.5546875" customWidth="1"/>
  </cols>
  <sheetData>
    <row r="1" spans="1:9" ht="26.4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79.5" customHeight="1" x14ac:dyDescent="0.3">
      <c r="A2" s="4">
        <v>1</v>
      </c>
      <c r="B2" s="2" t="s">
        <v>9</v>
      </c>
      <c r="C2" s="2" t="s">
        <v>98</v>
      </c>
      <c r="D2" s="4" t="s">
        <v>10</v>
      </c>
      <c r="E2" s="4" t="s">
        <v>94</v>
      </c>
      <c r="F2" s="5">
        <f>'Annahmen &amp; Quellen'!$C$5+'Annahmen &amp; Quellen'!$C$6*'Annahmen &amp; Quellen'!$C$4</f>
        <v>7000</v>
      </c>
      <c r="G2" s="2" t="s">
        <v>11</v>
      </c>
      <c r="H2" s="6">
        <v>0.85</v>
      </c>
      <c r="I2" s="2" t="s">
        <v>12</v>
      </c>
    </row>
    <row r="3" spans="1:9" ht="79.5" customHeight="1" x14ac:dyDescent="0.3">
      <c r="A3" s="7">
        <v>2</v>
      </c>
      <c r="B3" s="1" t="s">
        <v>13</v>
      </c>
      <c r="C3" s="1" t="s">
        <v>99</v>
      </c>
      <c r="D3" s="7" t="s">
        <v>14</v>
      </c>
      <c r="E3" s="7" t="s">
        <v>95</v>
      </c>
      <c r="F3" s="8">
        <f>'Annahmen &amp; Quellen'!$C$9*'Annahmen &amp; Quellen'!$C$4+'Annahmen &amp; Quellen'!$C$7*'Annahmen &amp; Quellen'!$C$10*'Annahmen &amp; Quellen'!$C$8*12</f>
        <v>4605.5200000000004</v>
      </c>
      <c r="G3" s="1" t="s">
        <v>15</v>
      </c>
      <c r="H3" s="9">
        <v>0.75</v>
      </c>
      <c r="I3" s="1" t="s">
        <v>16</v>
      </c>
    </row>
    <row r="4" spans="1:9" ht="79.5" customHeight="1" x14ac:dyDescent="0.3">
      <c r="A4" s="4">
        <v>3</v>
      </c>
      <c r="B4" s="2" t="s">
        <v>17</v>
      </c>
      <c r="C4" s="2" t="s">
        <v>100</v>
      </c>
      <c r="D4" s="4" t="s">
        <v>10</v>
      </c>
      <c r="E4" s="4" t="s">
        <v>96</v>
      </c>
      <c r="F4" s="5">
        <f>'Annahmen &amp; Quellen'!$C$11*'Annahmen &amp; Quellen'!$C$12*'Annahmen &amp; Quellen'!$C$13*'Annahmen &amp; Quellen'!$C$14</f>
        <v>2229.12</v>
      </c>
      <c r="G4" s="2" t="s">
        <v>18</v>
      </c>
      <c r="H4" s="6">
        <v>0.45</v>
      </c>
      <c r="I4" s="2" t="s">
        <v>19</v>
      </c>
    </row>
    <row r="5" spans="1:9" ht="79.5" customHeight="1" x14ac:dyDescent="0.3">
      <c r="A5" s="7">
        <v>4</v>
      </c>
      <c r="B5" s="1" t="s">
        <v>20</v>
      </c>
      <c r="C5" s="1" t="s">
        <v>101</v>
      </c>
      <c r="D5" s="7" t="s">
        <v>21</v>
      </c>
      <c r="E5" s="7" t="s">
        <v>97</v>
      </c>
      <c r="F5" s="8">
        <f>'Annahmen &amp; Quellen'!$C$7*'Annahmen &amp; Quellen'!$C$15*'Annahmen &amp; Quellen'!$C$8*'Annahmen &amp; Quellen'!$C$16*'Annahmen &amp; Quellen'!$C$17</f>
        <v>807.36</v>
      </c>
      <c r="G5" s="1" t="s">
        <v>22</v>
      </c>
      <c r="H5" s="9">
        <v>0.6</v>
      </c>
      <c r="I5" s="1" t="s">
        <v>23</v>
      </c>
    </row>
    <row r="6" spans="1:9" ht="79.5" customHeight="1" x14ac:dyDescent="0.3">
      <c r="A6" s="4">
        <v>5</v>
      </c>
      <c r="B6" s="2" t="s">
        <v>24</v>
      </c>
      <c r="C6" s="2" t="s">
        <v>103</v>
      </c>
      <c r="D6" s="4" t="s">
        <v>25</v>
      </c>
      <c r="E6" s="4" t="s">
        <v>26</v>
      </c>
      <c r="F6" s="5">
        <f>'Annahmen &amp; Quellen'!$C$7*'Annahmen &amp; Quellen'!$C$18*'Annahmen &amp; Quellen'!$C$8*12</f>
        <v>1513.8</v>
      </c>
      <c r="G6" s="2" t="s">
        <v>27</v>
      </c>
      <c r="H6" s="6">
        <v>0.35</v>
      </c>
      <c r="I6" s="2" t="s">
        <v>28</v>
      </c>
    </row>
    <row r="7" spans="1:9" ht="79.5" customHeight="1" x14ac:dyDescent="0.3">
      <c r="A7" s="7">
        <v>6</v>
      </c>
      <c r="B7" s="1" t="s">
        <v>29</v>
      </c>
      <c r="C7" s="1" t="s">
        <v>102</v>
      </c>
      <c r="D7" s="7" t="s">
        <v>10</v>
      </c>
      <c r="E7" s="7" t="s">
        <v>30</v>
      </c>
      <c r="F7" s="8">
        <f>'Annahmen &amp; Quellen'!$C$7*'Annahmen &amp; Quellen'!$C$19*'Annahmen &amp; Quellen'!$C$8*12</f>
        <v>1816.56</v>
      </c>
      <c r="G7" s="1" t="s">
        <v>31</v>
      </c>
      <c r="H7" s="9">
        <v>0.75</v>
      </c>
      <c r="I7" s="1" t="s">
        <v>32</v>
      </c>
    </row>
  </sheetData>
  <autoFilter ref="A1:I7" xr:uid="{00000000-0009-0000-0000-000000000000}"/>
  <pageMargins left="0.75" right="0.75" top="1" bottom="1" header="0.511811023622047" footer="0.511811023622047"/>
  <pageSetup paperSize="9" orientation="portrait" horizontalDpi="300" verticalDpi="300" r:id="rId1"/>
  <headerFooter>
    <oddFooter>&amp;C_x000D_&amp;1#&amp;"Aptos"&amp;8&amp;K000000 INTERNAL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tabSelected="1" zoomScaleNormal="100" workbookViewId="0"/>
  </sheetViews>
  <sheetFormatPr defaultColWidth="8.6640625" defaultRowHeight="14.4" x14ac:dyDescent="0.3"/>
  <cols>
    <col min="1" max="1" width="5" customWidth="1"/>
    <col min="2" max="2" width="44" customWidth="1"/>
    <col min="3" max="3" width="14" customWidth="1"/>
    <col min="4" max="4" width="12" customWidth="1"/>
    <col min="5" max="5" width="70" customWidth="1"/>
    <col min="6" max="6" width="12" customWidth="1"/>
  </cols>
  <sheetData>
    <row r="1" spans="1:6" ht="16.8" x14ac:dyDescent="0.3">
      <c r="A1" s="11" t="s">
        <v>110</v>
      </c>
    </row>
    <row r="2" spans="1:6" x14ac:dyDescent="0.3">
      <c r="A2" s="10" t="s">
        <v>104</v>
      </c>
    </row>
    <row r="3" spans="1:6" ht="27.6" x14ac:dyDescent="0.3">
      <c r="A3" s="12" t="s">
        <v>0</v>
      </c>
      <c r="B3" s="12" t="s">
        <v>33</v>
      </c>
      <c r="C3" s="12" t="s">
        <v>34</v>
      </c>
      <c r="D3" s="12" t="s">
        <v>35</v>
      </c>
      <c r="E3" s="12" t="s">
        <v>36</v>
      </c>
      <c r="F3" s="12" t="s">
        <v>37</v>
      </c>
    </row>
    <row r="4" spans="1:6" x14ac:dyDescent="0.3">
      <c r="A4" s="13">
        <v>1</v>
      </c>
      <c r="B4" s="14" t="s">
        <v>38</v>
      </c>
      <c r="C4" s="15">
        <v>400</v>
      </c>
      <c r="D4" s="13" t="s">
        <v>39</v>
      </c>
      <c r="E4" s="14" t="s">
        <v>40</v>
      </c>
      <c r="F4" s="13" t="s">
        <v>41</v>
      </c>
    </row>
    <row r="5" spans="1:6" ht="26.4" x14ac:dyDescent="0.3">
      <c r="A5" s="16">
        <v>2</v>
      </c>
      <c r="B5" s="17" t="s">
        <v>42</v>
      </c>
      <c r="C5" s="18">
        <v>3000</v>
      </c>
      <c r="D5" s="16" t="s">
        <v>43</v>
      </c>
      <c r="E5" s="17" t="s">
        <v>105</v>
      </c>
      <c r="F5" s="16" t="s">
        <v>44</v>
      </c>
    </row>
    <row r="6" spans="1:6" ht="26.4" x14ac:dyDescent="0.3">
      <c r="A6" s="13">
        <v>3</v>
      </c>
      <c r="B6" s="14" t="s">
        <v>45</v>
      </c>
      <c r="C6" s="19">
        <v>10</v>
      </c>
      <c r="D6" s="13" t="s">
        <v>46</v>
      </c>
      <c r="E6" s="14" t="s">
        <v>47</v>
      </c>
      <c r="F6" s="13" t="s">
        <v>44</v>
      </c>
    </row>
    <row r="7" spans="1:6" x14ac:dyDescent="0.3">
      <c r="A7" s="16">
        <v>4</v>
      </c>
      <c r="B7" s="17" t="s">
        <v>48</v>
      </c>
      <c r="C7" s="20">
        <v>17.399999999999999</v>
      </c>
      <c r="D7" s="16" t="s">
        <v>49</v>
      </c>
      <c r="E7" s="17" t="s">
        <v>106</v>
      </c>
      <c r="F7" s="16" t="s">
        <v>50</v>
      </c>
    </row>
    <row r="8" spans="1:6" x14ac:dyDescent="0.3">
      <c r="A8" s="13">
        <v>5</v>
      </c>
      <c r="B8" s="14" t="s">
        <v>51</v>
      </c>
      <c r="C8" s="15">
        <v>29</v>
      </c>
      <c r="D8" s="13" t="s">
        <v>52</v>
      </c>
      <c r="E8" s="14" t="s">
        <v>107</v>
      </c>
      <c r="F8" s="13" t="s">
        <v>50</v>
      </c>
    </row>
    <row r="9" spans="1:6" x14ac:dyDescent="0.3">
      <c r="A9" s="16">
        <v>6</v>
      </c>
      <c r="B9" s="17" t="s">
        <v>53</v>
      </c>
      <c r="C9" s="20">
        <v>10</v>
      </c>
      <c r="D9" s="16" t="s">
        <v>46</v>
      </c>
      <c r="E9" s="17" t="s">
        <v>47</v>
      </c>
      <c r="F9" s="16" t="s">
        <v>54</v>
      </c>
    </row>
    <row r="10" spans="1:6" ht="26.4" x14ac:dyDescent="0.3">
      <c r="A10" s="13">
        <v>7</v>
      </c>
      <c r="B10" s="14" t="s">
        <v>55</v>
      </c>
      <c r="C10" s="21">
        <v>0.1</v>
      </c>
      <c r="D10" s="13" t="s">
        <v>56</v>
      </c>
      <c r="E10" s="14" t="s">
        <v>57</v>
      </c>
      <c r="F10" s="13" t="s">
        <v>54</v>
      </c>
    </row>
    <row r="11" spans="1:6" ht="39.6" x14ac:dyDescent="0.3">
      <c r="A11" s="16">
        <v>8</v>
      </c>
      <c r="B11" s="17" t="s">
        <v>58</v>
      </c>
      <c r="C11" s="22">
        <v>0.6</v>
      </c>
      <c r="D11" s="16" t="s">
        <v>59</v>
      </c>
      <c r="E11" s="17" t="s">
        <v>60</v>
      </c>
      <c r="F11" s="16" t="s">
        <v>61</v>
      </c>
    </row>
    <row r="12" spans="1:6" x14ac:dyDescent="0.3">
      <c r="A12" s="13">
        <v>9</v>
      </c>
      <c r="B12" s="14" t="s">
        <v>62</v>
      </c>
      <c r="C12" s="19">
        <v>360</v>
      </c>
      <c r="D12" s="13" t="s">
        <v>63</v>
      </c>
      <c r="E12" s="14" t="s">
        <v>64</v>
      </c>
      <c r="F12" s="13" t="s">
        <v>61</v>
      </c>
    </row>
    <row r="13" spans="1:6" x14ac:dyDescent="0.3">
      <c r="A13" s="16">
        <v>10</v>
      </c>
      <c r="B13" s="17" t="s">
        <v>65</v>
      </c>
      <c r="C13" s="20">
        <v>12</v>
      </c>
      <c r="D13" s="16" t="s">
        <v>66</v>
      </c>
      <c r="E13" s="17" t="s">
        <v>67</v>
      </c>
      <c r="F13" s="16" t="s">
        <v>61</v>
      </c>
    </row>
    <row r="14" spans="1:6" x14ac:dyDescent="0.3">
      <c r="A14" s="13">
        <v>11</v>
      </c>
      <c r="B14" s="14" t="s">
        <v>68</v>
      </c>
      <c r="C14" s="23">
        <v>0.86</v>
      </c>
      <c r="D14" s="13" t="s">
        <v>69</v>
      </c>
      <c r="E14" s="14" t="s">
        <v>108</v>
      </c>
      <c r="F14" s="13" t="s">
        <v>61</v>
      </c>
    </row>
    <row r="15" spans="1:6" ht="26.4" x14ac:dyDescent="0.3">
      <c r="A15" s="16">
        <v>12</v>
      </c>
      <c r="B15" s="17" t="s">
        <v>70</v>
      </c>
      <c r="C15" s="24">
        <v>0.4</v>
      </c>
      <c r="D15" s="16" t="s">
        <v>56</v>
      </c>
      <c r="E15" s="17" t="s">
        <v>57</v>
      </c>
      <c r="F15" s="16" t="s">
        <v>71</v>
      </c>
    </row>
    <row r="16" spans="1:6" ht="26.4" x14ac:dyDescent="0.3">
      <c r="A16" s="13">
        <v>13</v>
      </c>
      <c r="B16" s="14" t="s">
        <v>72</v>
      </c>
      <c r="C16" s="19">
        <v>2</v>
      </c>
      <c r="D16" s="13" t="s">
        <v>73</v>
      </c>
      <c r="E16" s="14" t="s">
        <v>74</v>
      </c>
      <c r="F16" s="13" t="s">
        <v>71</v>
      </c>
    </row>
    <row r="17" spans="1:6" ht="26.4" x14ac:dyDescent="0.3">
      <c r="A17" s="16">
        <v>14</v>
      </c>
      <c r="B17" s="17" t="s">
        <v>75</v>
      </c>
      <c r="C17" s="20">
        <v>2</v>
      </c>
      <c r="D17" s="16" t="s">
        <v>76</v>
      </c>
      <c r="E17" s="17" t="s">
        <v>77</v>
      </c>
      <c r="F17" s="16" t="s">
        <v>71</v>
      </c>
    </row>
    <row r="18" spans="1:6" ht="26.4" x14ac:dyDescent="0.3">
      <c r="A18" s="13">
        <v>15</v>
      </c>
      <c r="B18" s="14" t="s">
        <v>78</v>
      </c>
      <c r="C18" s="21">
        <v>0.25</v>
      </c>
      <c r="D18" s="13" t="s">
        <v>56</v>
      </c>
      <c r="E18" s="14" t="s">
        <v>57</v>
      </c>
      <c r="F18" s="13" t="s">
        <v>79</v>
      </c>
    </row>
    <row r="19" spans="1:6" ht="26.4" x14ac:dyDescent="0.3">
      <c r="A19" s="16">
        <v>16</v>
      </c>
      <c r="B19" s="17" t="s">
        <v>80</v>
      </c>
      <c r="C19" s="24">
        <v>0.3</v>
      </c>
      <c r="D19" s="16" t="s">
        <v>56</v>
      </c>
      <c r="E19" s="17" t="s">
        <v>57</v>
      </c>
      <c r="F19" s="16" t="s">
        <v>81</v>
      </c>
    </row>
    <row r="21" spans="1:6" x14ac:dyDescent="0.3">
      <c r="A21" s="25" t="s">
        <v>82</v>
      </c>
    </row>
    <row r="22" spans="1:6" ht="54" customHeight="1" x14ac:dyDescent="0.3">
      <c r="A22" s="26"/>
      <c r="B22" s="2" t="s">
        <v>83</v>
      </c>
      <c r="C22" s="28" t="s">
        <v>84</v>
      </c>
      <c r="D22" s="28"/>
      <c r="E22" s="2" t="s">
        <v>85</v>
      </c>
      <c r="F22" s="26"/>
    </row>
    <row r="23" spans="1:6" ht="46.8" customHeight="1" x14ac:dyDescent="0.3">
      <c r="A23" s="27"/>
      <c r="B23" s="1" t="s">
        <v>86</v>
      </c>
      <c r="C23" s="29" t="s">
        <v>87</v>
      </c>
      <c r="D23" s="29"/>
      <c r="E23" s="1" t="s">
        <v>109</v>
      </c>
      <c r="F23" s="27"/>
    </row>
    <row r="24" spans="1:6" ht="43.8" customHeight="1" x14ac:dyDescent="0.3">
      <c r="A24" s="26"/>
      <c r="B24" s="2" t="s">
        <v>88</v>
      </c>
      <c r="C24" s="28" t="s">
        <v>89</v>
      </c>
      <c r="D24" s="28"/>
      <c r="E24" s="2" t="s">
        <v>90</v>
      </c>
      <c r="F24" s="26"/>
    </row>
    <row r="25" spans="1:6" ht="33" hidden="1" customHeight="1" x14ac:dyDescent="0.3">
      <c r="A25" s="27"/>
      <c r="B25" s="1" t="s">
        <v>91</v>
      </c>
      <c r="C25" s="29" t="s">
        <v>92</v>
      </c>
      <c r="D25" s="29"/>
      <c r="E25" s="1" t="s">
        <v>93</v>
      </c>
      <c r="F25" s="27"/>
    </row>
  </sheetData>
  <mergeCells count="4">
    <mergeCell ref="C22:D22"/>
    <mergeCell ref="C23:D23"/>
    <mergeCell ref="C24:D24"/>
    <mergeCell ref="C25:D25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&amp;C_x000D_&amp;1#&amp;"Aptos"&amp;8&amp;K000000 INTERNAL</oddFooter>
  </headerFooter>
</worksheet>
</file>

<file path=docMetadata/LabelInfo.xml><?xml version="1.0" encoding="utf-8"?>
<clbl:labelList xmlns:clbl="http://schemas.microsoft.com/office/2020/mipLabelMetadata">
  <clbl:label id="{f33c2d95-ffb8-4f09-8d49-eacb0a6220f7}" enabled="1" method="Standard" siteId="{67416604-6509-4014-9859-45e709f53d3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Risikomatrix</vt:lpstr>
      <vt:lpstr>Annahmen &amp; Quellen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Duong, Thi Quynh Nhi  SH/HZA-HAAGS</cp:lastModifiedBy>
  <cp:revision>0</cp:revision>
  <cp:lastPrinted>2026-09-24T18:13:15Z</cp:lastPrinted>
  <dcterms:created xsi:type="dcterms:W3CDTF">2026-09-24T17:57:43Z</dcterms:created>
  <dcterms:modified xsi:type="dcterms:W3CDTF">2026-10-04T17:03:26Z</dcterms:modified>
  <dc:language>en-US</dc:language>
</cp:coreProperties>
</file>