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orksite-my.sharepoint.com/personal/duongtiq_schaeffler_com/Documents/DHBW Mannheim/4.SEM/Projektmanagement/Hausarbeit/"/>
    </mc:Choice>
  </mc:AlternateContent>
  <xr:revisionPtr revIDLastSave="0" documentId="8_{42F83F5A-9D8E-40D5-A1F4-BFD67221BC4D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akeholder Analyse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<sst xmlns="http://schemas.openxmlformats.org/spreadsheetml/2006/main" count="101" uniqueCount="79">
  <si>
    <t>Stakeholder-Analyse</t>
  </si>
  <si>
    <t>Projektname:</t>
  </si>
  <si>
    <t>Integration der Viskositätsindex-Berechnung in die Grease App</t>
  </si>
  <si>
    <t>Datum:</t>
  </si>
  <si>
    <t>10.05.2026</t>
  </si>
  <si>
    <t>Verantwortliche:</t>
  </si>
  <si>
    <t>Duong, Thi Quynh Nhi</t>
  </si>
  <si>
    <t>Stakeholder</t>
  </si>
  <si>
    <t>Beschreibung / Ziele / Interessen</t>
  </si>
  <si>
    <t>Einstellung zum Projekt</t>
  </si>
  <si>
    <t>Einfluss des Stakeholders</t>
  </si>
  <si>
    <t>Beeinflussbarkeit des Stakeholders</t>
  </si>
  <si>
    <t>Gewichtung</t>
  </si>
  <si>
    <t>Maßnahmen</t>
  </si>
  <si>
    <t>Wert</t>
  </si>
  <si>
    <t>Bemerkungen</t>
  </si>
  <si>
    <t>Duong, Thi Quynh Nhi
(Verfasserin / Entwicklerin Praxisphase)</t>
  </si>
  <si>
    <t>Eigenständige Entwicklung des VI-Rechners als Feature der Grease App im Rahmen der Praxisphase</t>
  </si>
  <si>
    <t>Sehr Positiv (1)</t>
  </si>
  <si>
    <t>Treibt das Projekt aktiv voran, hat persönliches Interesse am Projekterfolg</t>
  </si>
  <si>
    <t>Hoch (5)</t>
  </si>
  <si>
    <t>Entwickelt das Feature operativ und trifft tägliche Detailentscheidungen</t>
  </si>
  <si>
    <t>Hoch (4)</t>
  </si>
  <si>
    <t>Eigene Person, voll steuerbar</t>
  </si>
  <si>
    <t>Eigenes Zeit- und Aufwandsmanagement, Reflexion in Retrospektiven, regelmäßige Abstimmung mit Betreuer</t>
  </si>
  <si>
    <t>Krause, Robert
(Product Owner Grease App)</t>
  </si>
  <si>
    <t>Verantwortet die Produktstrategie der Grease App und priorisiert das Backlog</t>
  </si>
  <si>
    <t>Auftraggeber des Features, will die Funktionslücke gegenüber Wettbewerber-Tools schließen</t>
  </si>
  <si>
    <t>Entscheidet über Backlog-Priorisierung und finale Akzeptanz / Rollout</t>
  </si>
  <si>
    <t>Mittel (3)</t>
  </si>
  <si>
    <t>Erreichbar in Sprint Planning und Sprint Review, hat aber eigene strategische Vorgaben</t>
  </si>
  <si>
    <t>Regelmäßige Abstimmung im Sprint Planning und Sprint Review, kontinuierliche Backlog-Pflege</t>
  </si>
  <si>
    <t>Loehner, Fabian
(UX-Designer)</t>
  </si>
  <si>
    <t>Verantwortlich für das Design und die Benutzerfreundlichkeit der Grease App</t>
  </si>
  <si>
    <t>Positiv (2)</t>
  </si>
  <si>
    <t>Unterstützt das Projekt, gibt aktiv Design- und UX-Feedback</t>
  </si>
  <si>
    <t>Beeinflusst UX-Entscheidungen wie Dialog vs. eigene Seite, jedoch keine funktionalen Entscheidungen</t>
  </si>
  <si>
    <t>Direkter Austausch jederzeit möglich, schneller Feedback-Fluss</t>
  </si>
  <si>
    <t>Frühzeitige Einbindung bei Designentscheidungen, iteratives UX-Feedback in jedem Sprint</t>
  </si>
  <si>
    <t>Vogel, Moritz
(Frontend-Entwickler / betrieblicher Betreuer)</t>
  </si>
  <si>
    <t>Frontend-Entwickler im Grease-App-Team und betrieblicher Betreuer der Verfasserin</t>
  </si>
  <si>
    <t>Doppelrolle als Mentor und Teamkollege, will den Erfolg der Praxisphase sichern</t>
  </si>
  <si>
    <t>Groß (4)</t>
  </si>
  <si>
    <t>Beeinflusst technische Entscheidungen und Bewertung der Praxisphase</t>
  </si>
  <si>
    <t>Täglicher Kontakt, direkter Ansprechpartner</t>
  </si>
  <si>
    <t>Tägliche Abstimmung im Daily Stand-up, Pair Programming bei Bedarf, regelmäßige Feedbackgespräche</t>
  </si>
  <si>
    <t>Berndt, Christian
(Fullstack-Entwickler)</t>
  </si>
  <si>
    <t>Fullstack-Entwickler im Team, unterstützt bei technischen Implementierungsfragen</t>
  </si>
  <si>
    <t>Kollegial und hilfsbereit, an einem stabilen Ergebnis interessiert</t>
  </si>
  <si>
    <t>Hilft bei spezifischen Themen wie Validierungslogik, kein direkter Entscheider</t>
  </si>
  <si>
    <t>Teamkollege, jederzeit erreichbar</t>
  </si>
  <si>
    <t>Gezielte Anfragen bei Implementierungsfragen, Code Review der Validierungslogik</t>
  </si>
  <si>
    <t>Grzegorzewski, Damian
(Software-Entwickler)</t>
  </si>
  <si>
    <t>Verantwortlich für Test, Merge und Deployment des Features in die Grease App</t>
  </si>
  <si>
    <t>Unterstützt das Projekt im Bereich Testing und Auslieferung</t>
  </si>
  <si>
    <t>Wichtig in Test- und Deploy-Phase, sonst weniger aktiv beteiligt</t>
  </si>
  <si>
    <t>Teamkollege mit eigenem Workflow, Abhängigkeit von Pipeline und Test-Slots</t>
  </si>
  <si>
    <t>Frühzeitige Übergabe des Codes für Test und Deploy, klare Dokumentation der Komponente</t>
  </si>
  <si>
    <t>Ascenco, Bruno
(Product Sales Smart Lubrication)</t>
  </si>
  <si>
    <t>Unterstützt das Projekt durch Bereitstellung fachlicher Dokumente</t>
  </si>
  <si>
    <t>Fachlicher Input ist entscheidend für die Korrektheit der VI-Berechnung nach ASTM-Norm</t>
  </si>
  <si>
    <t>Andere Abteilung, terminabhängig erreichbar</t>
  </si>
  <si>
    <t>Dokumenten- und Wissenstransfer zur ASTM-D2270-Norm, Rückfragen-Termine bei Bedarf</t>
  </si>
  <si>
    <t>Zuercher, Manuel
(Advanced Materials)</t>
  </si>
  <si>
    <t>Fachexperte aus dem Bereich Advanced Materials, gibt fachliches Feedback zum Thema Viskositätsindex</t>
  </si>
  <si>
    <t>Unterstützt das Projekt durch fachliches Review und Feedback</t>
  </si>
  <si>
    <t>Andere Abteilung, eingeschränkter Kontakt außerhalb der Reviews</t>
  </si>
  <si>
    <t>Fachliches Review im Sprint Review, gezielte Validierung der Berechnungslogik gegen ASTM-Norm</t>
  </si>
  <si>
    <t>Skalen-Erläuterung</t>
  </si>
  <si>
    <t>Einstellung:</t>
  </si>
  <si>
    <t>Sehr Positiv (1) – Positiv (2) – Neutral (3) – Negativ (4)</t>
  </si>
  <si>
    <t>Einfluss:</t>
  </si>
  <si>
    <t>Klein (1) – Klein (2) – Mittel (3) – Groß (4) – Hoch (5)</t>
  </si>
  <si>
    <t>Beeinflussbarkeit:</t>
  </si>
  <si>
    <t>Gering (1) – Gering (2) – Mittel (3) – Hoch (4)</t>
  </si>
  <si>
    <t>Gewichtung:</t>
  </si>
  <si>
    <t>Niedrig (≤ 5) – Mittel (6 – 9) – Hoch (≥ 10) — Summe der drei Skalen</t>
  </si>
  <si>
    <t>Fachexperte aus dem Bereich Smart Lubrication, hat Dokumentation zur ASTM-D2270-Norm bereitgestellt</t>
  </si>
  <si>
    <t>Reviewer mit fachlicher Stimme im Sprint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</si>
</sst>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EEBF7"/>
        <bgColor rgb="FFE2EFDA"/>
      </patternFill>
    </fill>
    <fill>
      <patternFill patternType="solid">
        <fgColor rgb="FFE2EFDA"/>
        <bgColor rgb="FFDEEBF7"/>
      </patternFill>
    </fill>
    <fill>
      <patternFill patternType="solid">
        <fgColor rgb="FFFCE4D6"/>
        <bgColor rgb="FFFFF2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81" zoomScaleNormal="8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3" sqref="F13"/>
    </sheetView>
  </sheetViews>
  <sheetFormatPr baseColWidth="10" defaultColWidth="8.6328125" defaultRowHeight="14.5" x14ac:dyDescent="0.35"/>
  <cols>
    <col min="1" max="1" width="28" customWidth="1"/>
    <col min="2" max="2" width="56.08984375" customWidth="1"/>
    <col min="3" max="3" width="16" customWidth="1"/>
    <col min="4" max="4" width="32" customWidth="1"/>
    <col min="5" max="5" width="14" customWidth="1"/>
    <col min="6" max="6" width="32" customWidth="1"/>
    <col min="7" max="7" width="16" customWidth="1"/>
    <col min="8" max="8" width="32" customWidth="1"/>
    <col min="9" max="9" width="12" customWidth="1"/>
    <col min="10" max="10" width="38" customWidth="1"/>
  </cols>
  <sheetData>
    <row r="1" spans="1:11" ht="21.75" customHeight="1" x14ac:dyDescent="0.4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A2" s="5" t="s">
        <v>1</v>
      </c>
      <c r="B2" s="3" t="s">
        <v>2</v>
      </c>
      <c r="C2" s="3"/>
      <c r="D2" s="3"/>
      <c r="E2" s="3"/>
      <c r="F2" s="3"/>
      <c r="G2" s="5" t="s">
        <v>3</v>
      </c>
      <c r="H2" s="6" t="s">
        <v>4</v>
      </c>
    </row>
    <row r="3" spans="1:11" x14ac:dyDescent="0.35">
      <c r="A3" s="5" t="s">
        <v>5</v>
      </c>
      <c r="B3" s="3" t="s">
        <v>6</v>
      </c>
      <c r="C3" s="3"/>
      <c r="D3" s="3"/>
      <c r="E3" s="3"/>
      <c r="F3" s="3"/>
    </row>
    <row r="5" spans="1:11" ht="24" customHeight="1" x14ac:dyDescent="0.35">
      <c r="A5" s="2" t="s">
        <v>7</v>
      </c>
      <c r="B5" s="2" t="s">
        <v>8</v>
      </c>
      <c r="C5" s="2" t="s">
        <v>9</v>
      </c>
      <c r="D5" s="2"/>
      <c r="E5" s="2" t="s">
        <v>10</v>
      </c>
      <c r="F5" s="2"/>
      <c r="G5" s="2" t="s">
        <v>11</v>
      </c>
      <c r="H5" s="2"/>
      <c r="I5" s="2" t="s">
        <v>12</v>
      </c>
      <c r="J5" s="2" t="s">
        <v>13</v>
      </c>
    </row>
    <row r="6" spans="1:11" ht="21.75" customHeight="1" x14ac:dyDescent="0.35">
      <c r="A6" s="2"/>
      <c r="B6" s="2"/>
      <c r="C6" s="7" t="s">
        <v>14</v>
      </c>
      <c r="D6" s="7" t="s">
        <v>15</v>
      </c>
      <c r="E6" s="7" t="s">
        <v>14</v>
      </c>
      <c r="F6" s="7" t="s">
        <v>15</v>
      </c>
      <c r="G6" s="7" t="s">
        <v>14</v>
      </c>
      <c r="H6" s="7" t="s">
        <v>15</v>
      </c>
      <c r="I6" s="2"/>
      <c r="J6" s="2"/>
    </row>
    <row r="7" spans="1:11" ht="90" customHeight="1" x14ac:dyDescent="0.35">
      <c r="A7" s="8" t="s">
        <v>16</v>
      </c>
      <c r="B7" s="8" t="s">
        <v>17</v>
      </c>
      <c r="C7" s="9" t="s">
        <v>18</v>
      </c>
      <c r="D7" s="10" t="s">
        <v>19</v>
      </c>
      <c r="E7" s="11" t="s">
        <v>20</v>
      </c>
      <c r="F7" s="12" t="s">
        <v>21</v>
      </c>
      <c r="G7" s="13" t="s">
        <v>22</v>
      </c>
      <c r="H7" s="14" t="s">
        <v>23</v>
      </c>
      <c r="I7" s="15">
        <f t="shared" ref="I7:I14" si="0">VALUE(MID(C7,FIND("(",C7)+1,FIND(")",C7)-FIND("(",C7)-1))+VALUE(MID(E7,FIND("(",E7)+1,FIND(")",E7)-FIND("(",E7)-1))+VALUE(MID(G7,FIND("(",G7)+1,FIND(")",G7)-FIND("(",G7)-1))</f>
        <v>10</v>
      </c>
      <c r="J7" s="8" t="s">
        <v>24</v>
      </c>
    </row>
    <row r="8" spans="1:11" ht="90" customHeight="1" x14ac:dyDescent="0.35">
      <c r="A8" s="8" t="s">
        <v>25</v>
      </c>
      <c r="B8" s="8" t="s">
        <v>26</v>
      </c>
      <c r="C8" s="9" t="s">
        <v>18</v>
      </c>
      <c r="D8" s="10" t="s">
        <v>27</v>
      </c>
      <c r="E8" s="11" t="s">
        <v>20</v>
      </c>
      <c r="F8" s="12" t="s">
        <v>28</v>
      </c>
      <c r="G8" s="13" t="s">
        <v>29</v>
      </c>
      <c r="H8" s="14" t="s">
        <v>30</v>
      </c>
      <c r="I8" s="15">
        <f t="shared" si="0"/>
        <v>9</v>
      </c>
      <c r="J8" s="8" t="s">
        <v>31</v>
      </c>
    </row>
    <row r="9" spans="1:11" ht="90" customHeight="1" x14ac:dyDescent="0.35">
      <c r="A9" s="8" t="s">
        <v>32</v>
      </c>
      <c r="B9" s="8" t="s">
        <v>33</v>
      </c>
      <c r="C9" s="9" t="s">
        <v>34</v>
      </c>
      <c r="D9" s="10" t="s">
        <v>35</v>
      </c>
      <c r="E9" s="11" t="s">
        <v>29</v>
      </c>
      <c r="F9" s="12" t="s">
        <v>36</v>
      </c>
      <c r="G9" s="13" t="s">
        <v>22</v>
      </c>
      <c r="H9" s="14" t="s">
        <v>37</v>
      </c>
      <c r="I9" s="15">
        <f t="shared" si="0"/>
        <v>9</v>
      </c>
      <c r="J9" s="8" t="s">
        <v>38</v>
      </c>
    </row>
    <row r="10" spans="1:11" ht="90" customHeight="1" x14ac:dyDescent="0.35">
      <c r="A10" s="8" t="s">
        <v>39</v>
      </c>
      <c r="B10" s="8" t="s">
        <v>40</v>
      </c>
      <c r="C10" s="9" t="s">
        <v>18</v>
      </c>
      <c r="D10" s="10" t="s">
        <v>41</v>
      </c>
      <c r="E10" s="11" t="s">
        <v>20</v>
      </c>
      <c r="F10" s="12" t="s">
        <v>43</v>
      </c>
      <c r="G10" s="13" t="s">
        <v>22</v>
      </c>
      <c r="H10" s="14" t="s">
        <v>44</v>
      </c>
      <c r="I10" s="15">
        <f t="shared" si="0"/>
        <v>10</v>
      </c>
      <c r="J10" s="8" t="s">
        <v>45</v>
      </c>
    </row>
    <row r="11" spans="1:11" ht="90" customHeight="1" x14ac:dyDescent="0.35">
      <c r="A11" s="8" t="s">
        <v>46</v>
      </c>
      <c r="B11" s="8" t="s">
        <v>47</v>
      </c>
      <c r="C11" s="9" t="s">
        <v>34</v>
      </c>
      <c r="D11" s="10" t="s">
        <v>48</v>
      </c>
      <c r="E11" s="11" t="s">
        <v>29</v>
      </c>
      <c r="F11" s="12" t="s">
        <v>49</v>
      </c>
      <c r="G11" s="13" t="s">
        <v>22</v>
      </c>
      <c r="H11" s="14" t="s">
        <v>50</v>
      </c>
      <c r="I11" s="15">
        <f t="shared" si="0"/>
        <v>9</v>
      </c>
      <c r="J11" s="8" t="s">
        <v>51</v>
      </c>
    </row>
    <row r="12" spans="1:11" ht="90" customHeight="1" x14ac:dyDescent="0.35">
      <c r="A12" s="8" t="s">
        <v>52</v>
      </c>
      <c r="B12" s="8" t="s">
        <v>53</v>
      </c>
      <c r="C12" s="9" t="s">
        <v>34</v>
      </c>
      <c r="D12" s="10" t="s">
        <v>54</v>
      </c>
      <c r="E12" s="11" t="s">
        <v>29</v>
      </c>
      <c r="F12" s="12" t="s">
        <v>55</v>
      </c>
      <c r="G12" s="13" t="s">
        <v>29</v>
      </c>
      <c r="H12" s="14" t="s">
        <v>56</v>
      </c>
      <c r="I12" s="15">
        <f t="shared" si="0"/>
        <v>8</v>
      </c>
      <c r="J12" s="8" t="s">
        <v>57</v>
      </c>
    </row>
    <row r="13" spans="1:11" ht="90" customHeight="1" x14ac:dyDescent="0.35">
      <c r="A13" s="8" t="s">
        <v>58</v>
      </c>
      <c r="B13" s="8" t="s">
        <v>77</v>
      </c>
      <c r="C13" s="9" t="s">
        <v>34</v>
      </c>
      <c r="D13" s="10" t="s">
        <v>59</v>
      </c>
      <c r="E13" s="11" t="s">
        <v>42</v>
      </c>
      <c r="F13" s="12" t="s">
        <v>60</v>
      </c>
      <c r="G13" s="13" t="s">
        <v>29</v>
      </c>
      <c r="H13" s="14" t="s">
        <v>61</v>
      </c>
      <c r="I13" s="15">
        <f t="shared" si="0"/>
        <v>9</v>
      </c>
      <c r="J13" s="8" t="s">
        <v>62</v>
      </c>
    </row>
    <row r="14" spans="1:11" ht="90" customHeight="1" x14ac:dyDescent="0.35">
      <c r="A14" s="8" t="s">
        <v>63</v>
      </c>
      <c r="B14" s="8" t="s">
        <v>64</v>
      </c>
      <c r="C14" s="9" t="s">
        <v>34</v>
      </c>
      <c r="D14" s="10" t="s">
        <v>65</v>
      </c>
      <c r="E14" s="11" t="s">
        <v>29</v>
      </c>
      <c r="F14" s="12" t="s">
        <v>78</v>
      </c>
      <c r="G14" s="13" t="s">
        <v>29</v>
      </c>
      <c r="H14" s="14" t="s">
        <v>66</v>
      </c>
      <c r="I14" s="15">
        <f t="shared" si="0"/>
        <v>8</v>
      </c>
      <c r="J14" s="8" t="s">
        <v>67</v>
      </c>
    </row>
    <row r="17" spans="1:10" x14ac:dyDescent="0.35">
      <c r="A17" s="1" t="s">
        <v>68</v>
      </c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5">
      <c r="A18" s="16" t="s">
        <v>69</v>
      </c>
      <c r="B18" s="3" t="s">
        <v>70</v>
      </c>
      <c r="C18" s="3"/>
      <c r="D18" s="3"/>
      <c r="E18" s="3"/>
      <c r="F18" s="3"/>
      <c r="G18" s="3"/>
      <c r="H18" s="3"/>
      <c r="I18" s="3"/>
      <c r="J18" s="3"/>
    </row>
    <row r="19" spans="1:10" x14ac:dyDescent="0.35">
      <c r="A19" s="16" t="s">
        <v>71</v>
      </c>
      <c r="B19" s="3" t="s">
        <v>72</v>
      </c>
      <c r="C19" s="3"/>
      <c r="D19" s="3"/>
      <c r="E19" s="3"/>
      <c r="F19" s="3"/>
      <c r="G19" s="3"/>
      <c r="H19" s="3"/>
      <c r="I19" s="3"/>
      <c r="J19" s="3"/>
    </row>
    <row r="20" spans="1:10" x14ac:dyDescent="0.35">
      <c r="A20" s="16" t="s">
        <v>73</v>
      </c>
      <c r="B20" s="3" t="s">
        <v>74</v>
      </c>
      <c r="C20" s="3"/>
      <c r="D20" s="3"/>
      <c r="E20" s="3"/>
      <c r="F20" s="3"/>
      <c r="G20" s="3"/>
      <c r="H20" s="3"/>
      <c r="I20" s="3"/>
      <c r="J20" s="3"/>
    </row>
    <row r="21" spans="1:10" x14ac:dyDescent="0.35">
      <c r="A21" s="16" t="s">
        <v>75</v>
      </c>
      <c r="B21" s="3" t="s">
        <v>76</v>
      </c>
      <c r="C21" s="3"/>
      <c r="D21" s="3"/>
      <c r="E21" s="3"/>
      <c r="F21" s="3"/>
      <c r="G21" s="3"/>
      <c r="H21" s="3"/>
      <c r="I21" s="3"/>
      <c r="J21" s="3"/>
    </row>
  </sheetData>
  <mergeCells count="15">
    <mergeCell ref="A17:J17"/>
    <mergeCell ref="B18:J18"/>
    <mergeCell ref="B19:J19"/>
    <mergeCell ref="B20:J20"/>
    <mergeCell ref="B21:J21"/>
    <mergeCell ref="A1:K1"/>
    <mergeCell ref="B2:F2"/>
    <mergeCell ref="B3:F3"/>
    <mergeCell ref="A5:A6"/>
    <mergeCell ref="B5:B6"/>
    <mergeCell ref="C5:D5"/>
    <mergeCell ref="E5:F5"/>
    <mergeCell ref="G5:H5"/>
    <mergeCell ref="I5:I6"/>
    <mergeCell ref="J5:J6"/>
  </mergeCells>
  <pageMargins left="0.75" right="0.75" top="1" bottom="1" header="0.511811023622047" footer="0.511811023622047"/>
  <pageSetup paperSize="9" orientation="portrait" horizontalDpi="300" verticalDpi="300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Stakeholder 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Duong, Thi Quynh Nhi  SH/HZA-HAAGS</cp:lastModifiedBy>
  <cp:revision>0</cp:revision>
  <dcterms:created xsi:type="dcterms:W3CDTF">2026-05-10T11:25:42Z</dcterms:created>
  <dcterms:modified xsi:type="dcterms:W3CDTF">2026-05-10T11:32:16Z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3c2d95-ffb8-4f09-8d49-eacb0a6220f7_Enabled">
    <vt:lpwstr>true</vt:lpwstr>
  </property>
  <property fmtid="{D5CDD505-2E9C-101B-9397-08002B2CF9AE}" pid="3" name="MSIP_Label_f33c2d95-ffb8-4f09-8d49-eacb0a6220f7_SetDate">
    <vt:lpwstr>2026-05-10T11:31:57Z</vt:lpwstr>
  </property>
  <property fmtid="{D5CDD505-2E9C-101B-9397-08002B2CF9AE}" pid="4" name="MSIP_Label_f33c2d95-ffb8-4f09-8d49-eacb0a6220f7_Method">
    <vt:lpwstr>Standard</vt:lpwstr>
  </property>
  <property fmtid="{D5CDD505-2E9C-101B-9397-08002B2CF9AE}" pid="5" name="MSIP_Label_f33c2d95-ffb8-4f09-8d49-eacb0a6220f7_Name">
    <vt:lpwstr>Internal</vt:lpwstr>
  </property>
  <property fmtid="{D5CDD505-2E9C-101B-9397-08002B2CF9AE}" pid="6" name="MSIP_Label_f33c2d95-ffb8-4f09-8d49-eacb0a6220f7_SiteId">
    <vt:lpwstr>67416604-6509-4014-9859-45e709f53d3f</vt:lpwstr>
  </property>
  <property fmtid="{D5CDD505-2E9C-101B-9397-08002B2CF9AE}" pid="7" name="MSIP_Label_f33c2d95-ffb8-4f09-8d49-eacb0a6220f7_ActionId">
    <vt:lpwstr>0df6458d-8762-4e6a-b566-0b68558b0d2b</vt:lpwstr>
  </property>
  <property fmtid="{D5CDD505-2E9C-101B-9397-08002B2CF9AE}" pid="8" name="MSIP_Label_f33c2d95-ffb8-4f09-8d49-eacb0a6220f7_ContentBits">
    <vt:lpwstr>2</vt:lpwstr>
  </property>
  <property fmtid="{D5CDD505-2E9C-101B-9397-08002B2CF9AE}" pid="9" name="MSIP_Label_f33c2d95-ffb8-4f09-8d49-eacb0a6220f7_Tag">
    <vt:lpwstr>10, 3, 0, 1</vt:lpwstr>
  </property>
</Properties>
</file>