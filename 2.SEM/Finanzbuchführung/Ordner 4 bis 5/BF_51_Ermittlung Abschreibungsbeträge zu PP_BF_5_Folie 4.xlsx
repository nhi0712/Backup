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8_{A46C655B-0F49-4E24-957D-895B91D63F5B}" xr6:coauthVersionLast="47" xr6:coauthVersionMax="47" xr10:uidLastSave="{00000000-0000-0000-0000-000000000000}"/>
  <bookViews>
    <workbookView xWindow="-28920" yWindow="5175" windowWidth="29040" windowHeight="15840" activeTab="3" xr2:uid="{00000000-000D-0000-FFFF-FFFF00000000}"/>
  </bookViews>
  <sheets>
    <sheet name="AFA_Diagramm_Zusatz" sheetId="2" r:id="rId1"/>
    <sheet name="AFA_Diagramm" sheetId="3" r:id="rId2"/>
    <sheet name="AFAREST_Diagramm" sheetId="4" r:id="rId3"/>
    <sheet name="AFARW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B8" i="1"/>
  <c r="C8" i="1" s="1"/>
  <c r="D8" i="1"/>
  <c r="E8" i="1" s="1"/>
  <c r="F8" i="1"/>
  <c r="G8" i="1" s="1"/>
  <c r="A9" i="1"/>
  <c r="B9" i="1"/>
  <c r="H14" i="1"/>
  <c r="I15" i="1" s="1"/>
  <c r="A10" i="1"/>
  <c r="B10" i="1" s="1"/>
  <c r="F9" i="1" l="1"/>
  <c r="G9" i="1"/>
  <c r="D9" i="1"/>
  <c r="E9" i="1"/>
  <c r="C9" i="1"/>
  <c r="I11" i="1"/>
  <c r="C10" i="1"/>
  <c r="I12" i="1"/>
  <c r="A11" i="1"/>
  <c r="I9" i="1"/>
  <c r="I13" i="1"/>
  <c r="I8" i="1"/>
  <c r="J8" i="1" s="1"/>
  <c r="I10" i="1"/>
  <c r="B11" i="1" l="1"/>
  <c r="C11" i="1"/>
  <c r="A12" i="1"/>
  <c r="D10" i="1"/>
  <c r="E10" i="1" s="1"/>
  <c r="G10" i="1"/>
  <c r="F10" i="1"/>
  <c r="J9" i="1"/>
  <c r="J10" i="1" s="1"/>
  <c r="J11" i="1" s="1"/>
  <c r="J12" i="1" s="1"/>
  <c r="J13" i="1" s="1"/>
  <c r="D11" i="1" l="1"/>
  <c r="E11" i="1" s="1"/>
  <c r="F11" i="1"/>
  <c r="G11" i="1"/>
  <c r="B12" i="1"/>
  <c r="C12" i="1" s="1"/>
  <c r="A13" i="1"/>
  <c r="D12" i="1" l="1"/>
  <c r="E12" i="1"/>
  <c r="F12" i="1"/>
  <c r="G12" i="1"/>
  <c r="B13" i="1"/>
  <c r="C13" i="1" s="1"/>
  <c r="D13" i="1"/>
  <c r="E13" i="1" s="1"/>
  <c r="F13" i="1" l="1"/>
  <c r="G13" i="1"/>
</calcChain>
</file>

<file path=xl/sharedStrings.xml><?xml version="1.0" encoding="utf-8"?>
<sst xmlns="http://schemas.openxmlformats.org/spreadsheetml/2006/main" count="19" uniqueCount="13">
  <si>
    <t>Anschaffungswert:</t>
  </si>
  <si>
    <t>Nutzungsdauer:</t>
  </si>
  <si>
    <t>Linearer AFA-Betrag</t>
  </si>
  <si>
    <t>Afa-Prozentsatz:</t>
  </si>
  <si>
    <t>Lineare Abschreibung:</t>
  </si>
  <si>
    <t>Degressive Abschreibung:</t>
  </si>
  <si>
    <t>Übergang: degr. -lin. Abschr.</t>
  </si>
  <si>
    <t>Leistungsabschreibung</t>
  </si>
  <si>
    <t>Jahr</t>
  </si>
  <si>
    <t>AFA-Betrag</t>
  </si>
  <si>
    <t>Buchwert am Ende des Jahres</t>
  </si>
  <si>
    <t>Kilometerleistung</t>
  </si>
  <si>
    <t>1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</si>
</sst>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\ &quot;Jahre&quot;"/>
    <numFmt numFmtId="165" formatCode="0\ &quot;%&quot;"/>
    <numFmt numFmtId="166" formatCode="0\ &quot;km&quot;"/>
    <numFmt numFmtId="167" formatCode="#,##0.00\ [$€-1];\-#,##0.00\ [$€-1]"/>
    <numFmt numFmtId="168" formatCode="0,000\ &quot;km&quot;"/>
  </numFmts>
  <fonts count="5">
    <font>
      <sz val="10"/>
      <name val="MS Sans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4"/>
      <name val="MS Sans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1" xfId="0" applyFont="1" applyBorder="1"/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0" fillId="0" borderId="8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/>
    <xf numFmtId="1" fontId="3" fillId="0" borderId="9" xfId="0" applyNumberFormat="1" applyFont="1" applyBorder="1" applyAlignment="1">
      <alignment horizontal="left"/>
    </xf>
    <xf numFmtId="2" fontId="3" fillId="0" borderId="0" xfId="0" applyNumberFormat="1" applyFont="1"/>
    <xf numFmtId="1" fontId="3" fillId="0" borderId="6" xfId="0" applyNumberFormat="1" applyFont="1" applyBorder="1" applyAlignment="1">
      <alignment horizontal="left"/>
    </xf>
    <xf numFmtId="2" fontId="3" fillId="0" borderId="3" xfId="0" applyNumberFormat="1" applyFont="1" applyBorder="1"/>
    <xf numFmtId="167" fontId="1" fillId="0" borderId="0" xfId="0" applyNumberFormat="1" applyFont="1"/>
    <xf numFmtId="167" fontId="4" fillId="0" borderId="0" xfId="0" applyNumberFormat="1" applyFont="1"/>
    <xf numFmtId="166" fontId="3" fillId="0" borderId="0" xfId="0" applyNumberFormat="1" applyFont="1" applyAlignment="1">
      <alignment horizontal="right"/>
    </xf>
    <xf numFmtId="4" fontId="3" fillId="0" borderId="10" xfId="0" applyNumberFormat="1" applyFont="1" applyBorder="1"/>
    <xf numFmtId="4" fontId="3" fillId="0" borderId="11" xfId="0" applyNumberFormat="1" applyFont="1" applyBorder="1"/>
    <xf numFmtId="4" fontId="3" fillId="0" borderId="2" xfId="0" applyNumberFormat="1" applyFont="1" applyBorder="1"/>
    <xf numFmtId="4" fontId="3" fillId="0" borderId="4" xfId="0" applyNumberFormat="1" applyFont="1" applyBorder="1"/>
    <xf numFmtId="4" fontId="3" fillId="0" borderId="0" xfId="0" applyNumberFormat="1" applyFont="1"/>
    <xf numFmtId="4" fontId="3" fillId="0" borderId="3" xfId="0" applyNumberFormat="1" applyFont="1" applyBorder="1"/>
    <xf numFmtId="168" fontId="3" fillId="0" borderId="10" xfId="0" applyNumberFormat="1" applyFont="1" applyBorder="1"/>
    <xf numFmtId="168" fontId="3" fillId="0" borderId="2" xfId="0" applyNumberFormat="1" applyFont="1" applyBorder="1"/>
    <xf numFmtId="168" fontId="3" fillId="0" borderId="8" xfId="0" applyNumberFormat="1" applyFont="1" applyBorder="1"/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Entwicklung der AFA.Beträge</a:t>
            </a:r>
          </a:p>
        </c:rich>
      </c:tx>
      <c:layout>
        <c:manualLayout>
          <c:xMode val="edge"/>
          <c:yMode val="edge"/>
          <c:x val="0.38020833333333331"/>
          <c:y val="2.02020202020202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12499999999999"/>
          <c:y val="0.12457912457912459"/>
          <c:w val="0.88645833333333335"/>
          <c:h val="0.71885521885521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AFARW!$B$6</c:f>
              <c:strCache>
                <c:ptCount val="1"/>
                <c:pt idx="0">
                  <c:v>Lineare Abschreibung: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AFARW!$B$8:$B$13</c:f>
              <c:numCache>
                <c:formatCode>#,##0.00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4-47E1-A7AA-03F6EF4A72E7}"/>
            </c:ext>
          </c:extLst>
        </c:ser>
        <c:ser>
          <c:idx val="1"/>
          <c:order val="1"/>
          <c:tx>
            <c:strRef>
              <c:f>AFARW!$D$6</c:f>
              <c:strCache>
                <c:ptCount val="1"/>
                <c:pt idx="0">
                  <c:v>Degressive Abschreibung: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AFARW!$D$8:$D$13</c:f>
              <c:numCache>
                <c:formatCode>#,##0.00</c:formatCode>
                <c:ptCount val="6"/>
                <c:pt idx="0">
                  <c:v>15000</c:v>
                </c:pt>
                <c:pt idx="1">
                  <c:v>11250</c:v>
                </c:pt>
                <c:pt idx="2">
                  <c:v>8437.5</c:v>
                </c:pt>
                <c:pt idx="3">
                  <c:v>6328.125</c:v>
                </c:pt>
                <c:pt idx="4">
                  <c:v>4746.09375</c:v>
                </c:pt>
                <c:pt idx="5">
                  <c:v>3559.5703125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4-47E1-A7AA-03F6EF4A7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619648"/>
        <c:axId val="72632192"/>
      </c:barChart>
      <c:lineChart>
        <c:grouping val="standard"/>
        <c:varyColors val="0"/>
        <c:ser>
          <c:idx val="2"/>
          <c:order val="2"/>
          <c:tx>
            <c:strRef>
              <c:f>AFARW!$I$6</c:f>
              <c:strCache>
                <c:ptCount val="1"/>
                <c:pt idx="0">
                  <c:v>Leistungsabschreibung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AFARW!$I$8:$I$13</c:f>
              <c:numCache>
                <c:formatCode>#,##0.00</c:formatCode>
                <c:ptCount val="6"/>
                <c:pt idx="0">
                  <c:v>8181.8181818181811</c:v>
                </c:pt>
                <c:pt idx="1">
                  <c:v>2727.272727272727</c:v>
                </c:pt>
                <c:pt idx="2">
                  <c:v>10909.090909090908</c:v>
                </c:pt>
                <c:pt idx="3">
                  <c:v>19090.909090909088</c:v>
                </c:pt>
                <c:pt idx="4">
                  <c:v>8181.8181818181811</c:v>
                </c:pt>
                <c:pt idx="5">
                  <c:v>10909.090909090908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54-47E1-A7AA-03F6EF4A7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19648"/>
        <c:axId val="72632192"/>
      </c:lineChart>
      <c:catAx>
        <c:axId val="6861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Jahre</a:t>
                </a:r>
              </a:p>
            </c:rich>
          </c:tx>
          <c:layout>
            <c:manualLayout>
              <c:xMode val="edge"/>
              <c:yMode val="edge"/>
              <c:x val="0.52500000000000002"/>
              <c:y val="0.895622895622895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72632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632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€</a:t>
                </a:r>
              </a:p>
            </c:rich>
          </c:tx>
          <c:layout>
            <c:manualLayout>
              <c:xMode val="edge"/>
              <c:yMode val="edge"/>
              <c:x val="1.1458333333333334E-2"/>
              <c:y val="0.4747474747474748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86196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7291666666666675"/>
          <c:y val="0.95454545454545481"/>
          <c:w val="0.54687500000000011"/>
          <c:h val="4.04040404040404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Entwicklung der Abschreibungsbeträge</a:t>
            </a:r>
          </a:p>
        </c:rich>
      </c:tx>
      <c:layout>
        <c:manualLayout>
          <c:xMode val="edge"/>
          <c:yMode val="edge"/>
          <c:x val="0.3395833333333334"/>
          <c:y val="2.02020202020202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12499999999999"/>
          <c:y val="0.12457912457912459"/>
          <c:w val="0.88645833333333335"/>
          <c:h val="0.71885521885521897"/>
        </c:manualLayout>
      </c:layout>
      <c:lineChart>
        <c:grouping val="standard"/>
        <c:varyColors val="0"/>
        <c:ser>
          <c:idx val="1"/>
          <c:order val="0"/>
          <c:tx>
            <c:strRef>
              <c:f>AFARW!$B$6</c:f>
              <c:strCache>
                <c:ptCount val="1"/>
                <c:pt idx="0">
                  <c:v>Lineare Abschreibung: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AFARW!$B$8:$B$13</c:f>
              <c:numCache>
                <c:formatCode>#,##0.00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9-4389-8236-A6926BE91C12}"/>
            </c:ext>
          </c:extLst>
        </c:ser>
        <c:ser>
          <c:idx val="2"/>
          <c:order val="1"/>
          <c:tx>
            <c:strRef>
              <c:f>AFARW!$D$6</c:f>
              <c:strCache>
                <c:ptCount val="1"/>
                <c:pt idx="0">
                  <c:v>Degressive Abschreibung:</c:v>
                </c:pt>
              </c:strCache>
            </c:strRef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AFARW!$D$8:$D$13</c:f>
              <c:numCache>
                <c:formatCode>#,##0.00</c:formatCode>
                <c:ptCount val="6"/>
                <c:pt idx="0">
                  <c:v>15000</c:v>
                </c:pt>
                <c:pt idx="1">
                  <c:v>11250</c:v>
                </c:pt>
                <c:pt idx="2">
                  <c:v>8437.5</c:v>
                </c:pt>
                <c:pt idx="3">
                  <c:v>6328.125</c:v>
                </c:pt>
                <c:pt idx="4">
                  <c:v>4746.09375</c:v>
                </c:pt>
                <c:pt idx="5">
                  <c:v>3559.5703125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89-4389-8236-A6926BE91C12}"/>
            </c:ext>
          </c:extLst>
        </c:ser>
        <c:ser>
          <c:idx val="3"/>
          <c:order val="2"/>
          <c:tx>
            <c:strRef>
              <c:f>AFARW!$I$6</c:f>
              <c:strCache>
                <c:ptCount val="1"/>
                <c:pt idx="0">
                  <c:v>Leistungsabschreibung</c:v>
                </c:pt>
              </c:strCache>
            </c:strRef>
          </c:tx>
          <c:spPr>
            <a:ln w="38100">
              <a:solidFill>
                <a:srgbClr val="00FFFF"/>
              </a:solidFill>
              <a:prstDash val="solid"/>
            </a:ln>
          </c:spPr>
          <c:marker>
            <c:symbol val="x"/>
            <c:size val="9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AFARW!$I$8:$I$13</c:f>
              <c:numCache>
                <c:formatCode>#,##0.00</c:formatCode>
                <c:ptCount val="6"/>
                <c:pt idx="0">
                  <c:v>8181.8181818181811</c:v>
                </c:pt>
                <c:pt idx="1">
                  <c:v>2727.272727272727</c:v>
                </c:pt>
                <c:pt idx="2">
                  <c:v>10909.090909090908</c:v>
                </c:pt>
                <c:pt idx="3">
                  <c:v>19090.909090909088</c:v>
                </c:pt>
                <c:pt idx="4">
                  <c:v>8181.8181818181811</c:v>
                </c:pt>
                <c:pt idx="5">
                  <c:v>10909.090909090908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89-4389-8236-A6926BE9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99008"/>
        <c:axId val="74270592"/>
      </c:lineChart>
      <c:catAx>
        <c:axId val="7029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Jahre</a:t>
                </a:r>
              </a:p>
            </c:rich>
          </c:tx>
          <c:layout>
            <c:manualLayout>
              <c:xMode val="edge"/>
              <c:yMode val="edge"/>
              <c:x val="0.52500000000000002"/>
              <c:y val="0.895622895622895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74270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4270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€</a:t>
                </a:r>
              </a:p>
            </c:rich>
          </c:tx>
          <c:layout>
            <c:manualLayout>
              <c:xMode val="edge"/>
              <c:yMode val="edge"/>
              <c:x val="1.1458333333333334E-2"/>
              <c:y val="0.4747474747474748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702990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7083333333333326"/>
          <c:y val="0.95454545454545481"/>
          <c:w val="0.55000000000000004"/>
          <c:h val="4.04040404040404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Entwicklung der Buchwerte bei verschiedenen Abschreibungsverfahren</a:t>
            </a:r>
          </a:p>
        </c:rich>
      </c:tx>
      <c:layout>
        <c:manualLayout>
          <c:xMode val="edge"/>
          <c:yMode val="edge"/>
          <c:x val="0.21145833333333339"/>
          <c:y val="2.02020202020202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125E-2"/>
          <c:y val="0.12457912457912459"/>
          <c:w val="0.91145833333333348"/>
          <c:h val="0.71885521885521897"/>
        </c:manualLayout>
      </c:layout>
      <c:lineChart>
        <c:grouping val="standard"/>
        <c:varyColors val="0"/>
        <c:ser>
          <c:idx val="0"/>
          <c:order val="0"/>
          <c:tx>
            <c:strRef>
              <c:f>AFARW!$B$6</c:f>
              <c:strCache>
                <c:ptCount val="1"/>
                <c:pt idx="0">
                  <c:v>Lineare Abschreibung: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AFARW!$C$8:$C$13</c:f>
              <c:numCache>
                <c:formatCode>#,##0.00</c:formatCode>
                <c:ptCount val="6"/>
                <c:pt idx="0">
                  <c:v>50000</c:v>
                </c:pt>
                <c:pt idx="1">
                  <c:v>40000</c:v>
                </c:pt>
                <c:pt idx="2">
                  <c:v>30000</c:v>
                </c:pt>
                <c:pt idx="3">
                  <c:v>20000</c:v>
                </c:pt>
                <c:pt idx="4">
                  <c:v>10000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C-4DD7-9796-126F948F4B04}"/>
            </c:ext>
          </c:extLst>
        </c:ser>
        <c:ser>
          <c:idx val="1"/>
          <c:order val="1"/>
          <c:tx>
            <c:strRef>
              <c:f>AFARW!$D$6</c:f>
              <c:strCache>
                <c:ptCount val="1"/>
                <c:pt idx="0">
                  <c:v>Degressive Abschreibung: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AFARW!$E$8:$E$13</c:f>
              <c:numCache>
                <c:formatCode>#,##0.00</c:formatCode>
                <c:ptCount val="6"/>
                <c:pt idx="0">
                  <c:v>45000</c:v>
                </c:pt>
                <c:pt idx="1">
                  <c:v>33750</c:v>
                </c:pt>
                <c:pt idx="2">
                  <c:v>25312.5</c:v>
                </c:pt>
                <c:pt idx="3">
                  <c:v>18984.375</c:v>
                </c:pt>
                <c:pt idx="4">
                  <c:v>14238.28125</c:v>
                </c:pt>
                <c:pt idx="5">
                  <c:v>10678.7109375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C-4DD7-9796-126F948F4B04}"/>
            </c:ext>
          </c:extLst>
        </c:ser>
        <c:ser>
          <c:idx val="2"/>
          <c:order val="2"/>
          <c:tx>
            <c:strRef>
              <c:f>AFARW!$I$6</c:f>
              <c:strCache>
                <c:ptCount val="1"/>
                <c:pt idx="0">
                  <c:v>Leistungsabschreibung</c:v>
                </c:pt>
              </c:strCache>
            </c:strRef>
          </c:tx>
          <c:spPr>
            <a:ln w="25400">
              <a:solidFill>
                <a:srgbClr val="FFC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AFARW!$J$8:$J$13</c:f>
              <c:numCache>
                <c:formatCode>#,##0.00</c:formatCode>
                <c:ptCount val="6"/>
                <c:pt idx="0">
                  <c:v>51818.181818181816</c:v>
                </c:pt>
                <c:pt idx="1">
                  <c:v>49090.909090909088</c:v>
                </c:pt>
                <c:pt idx="2">
                  <c:v>38181.818181818177</c:v>
                </c:pt>
                <c:pt idx="3">
                  <c:v>19090.909090909088</c:v>
                </c:pt>
                <c:pt idx="4">
                  <c:v>10909.090909090908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C-4DD7-9796-126F948F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46080"/>
        <c:axId val="79648640"/>
      </c:lineChart>
      <c:catAx>
        <c:axId val="7964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Jahre</a:t>
                </a:r>
              </a:p>
            </c:rich>
          </c:tx>
          <c:layout>
            <c:manualLayout>
              <c:xMode val="edge"/>
              <c:yMode val="edge"/>
              <c:x val="0.51249999999999996"/>
              <c:y val="0.895622895622895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79648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648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796460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604166666666668"/>
          <c:y val="0.95454545454545481"/>
          <c:w val="0.54687500000000011"/>
          <c:h val="4.04040404040404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Entwicklung der Abschreibungsbeträge bei unterschiedlichen Methoden</a:t>
            </a:r>
          </a:p>
        </c:rich>
      </c:tx>
      <c:layout>
        <c:manualLayout>
          <c:xMode val="edge"/>
          <c:yMode val="edge"/>
          <c:x val="0.11048173510889041"/>
          <c:y val="2.83687943262411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1311540943378"/>
          <c:y val="0.12765979551022885"/>
          <c:w val="0.86402326046226297"/>
          <c:h val="0.70567498073709822"/>
        </c:manualLayout>
      </c:layout>
      <c:lineChart>
        <c:grouping val="standard"/>
        <c:varyColors val="0"/>
        <c:ser>
          <c:idx val="0"/>
          <c:order val="0"/>
          <c:tx>
            <c:strRef>
              <c:f>AFARW!$B$6</c:f>
              <c:strCache>
                <c:ptCount val="1"/>
                <c:pt idx="0">
                  <c:v>Lineare Abschreibung: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AFARW!$B$8:$B$13</c:f>
              <c:numCache>
                <c:formatCode>#,##0.00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1-40CA-AF3A-E33D6E26D12B}"/>
            </c:ext>
          </c:extLst>
        </c:ser>
        <c:ser>
          <c:idx val="1"/>
          <c:order val="1"/>
          <c:tx>
            <c:strRef>
              <c:f>AFARW!$D$6</c:f>
              <c:strCache>
                <c:ptCount val="1"/>
                <c:pt idx="0">
                  <c:v>Degressive Abschreibung: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AFARW!$D$8:$D$13</c:f>
              <c:numCache>
                <c:formatCode>#,##0.00</c:formatCode>
                <c:ptCount val="6"/>
                <c:pt idx="0">
                  <c:v>15000</c:v>
                </c:pt>
                <c:pt idx="1">
                  <c:v>11250</c:v>
                </c:pt>
                <c:pt idx="2">
                  <c:v>8437.5</c:v>
                </c:pt>
                <c:pt idx="3">
                  <c:v>6328.125</c:v>
                </c:pt>
                <c:pt idx="4">
                  <c:v>4746.09375</c:v>
                </c:pt>
                <c:pt idx="5">
                  <c:v>3559.5703125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1-40CA-AF3A-E33D6E26D12B}"/>
            </c:ext>
          </c:extLst>
        </c:ser>
        <c:ser>
          <c:idx val="2"/>
          <c:order val="2"/>
          <c:tx>
            <c:strRef>
              <c:f>AFARW!$I$6</c:f>
              <c:strCache>
                <c:ptCount val="1"/>
                <c:pt idx="0">
                  <c:v>Leistungsabschreibung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AFARW!$A$8:$A$13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AFARW!$I$8:$I$13</c:f>
              <c:numCache>
                <c:formatCode>#,##0.00</c:formatCode>
                <c:ptCount val="6"/>
                <c:pt idx="0">
                  <c:v>8181.8181818181811</c:v>
                </c:pt>
                <c:pt idx="1">
                  <c:v>2727.272727272727</c:v>
                </c:pt>
                <c:pt idx="2">
                  <c:v>10909.090909090908</c:v>
                </c:pt>
                <c:pt idx="3">
                  <c:v>19090.909090909088</c:v>
                </c:pt>
                <c:pt idx="4">
                  <c:v>8181.8181818181811</c:v>
                </c:pt>
                <c:pt idx="5">
                  <c:v>10909.090909090908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1-40CA-AF3A-E33D6E26D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03808"/>
        <c:axId val="74106368"/>
      </c:lineChart>
      <c:catAx>
        <c:axId val="7410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Jahre</a:t>
                </a:r>
              </a:p>
            </c:rich>
          </c:tx>
          <c:layout>
            <c:manualLayout>
              <c:xMode val="edge"/>
              <c:yMode val="edge"/>
              <c:x val="0.910765467347743"/>
              <c:y val="0.8847532622252004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741063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4106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AFA-Beträge in €</a:t>
                </a:r>
              </a:p>
            </c:rich>
          </c:tx>
          <c:layout>
            <c:manualLayout>
              <c:xMode val="edge"/>
              <c:yMode val="edge"/>
              <c:x val="7.0821529745042494E-3"/>
              <c:y val="0.3386530407103366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741038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0821529745042494E-3"/>
          <c:y val="0.89893765938832104"/>
          <c:w val="0.83852750700779977"/>
          <c:h val="4.609929078014185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&amp;ZEntwicklung der Abschreibungsbeträge bei unterschiedlichen Methoden</c:oddHeader>
      <c:oddFooter>&amp;R&amp;B &amp;N</c:oddFooter>
    </c:headerFooter>
    <c:pageMargins b="0.98425196899999989" l="0.78740157499999996" r="0.78740157499999996" t="0.98425196899999989" header="0.51181102300000003" footer="0.51181102300000003"/>
    <c:pageSetup paperSize="9" orientation="landscape" verticalDpi="300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30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30" workbookViewId="0"/>
  </sheetViews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30" workbookViewId="0"/>
  </sheetViews>
  <pageMargins left="0.78740157499999996" right="0.78740157499999996" top="0.984251969" bottom="0.984251969" header="0.4921259845" footer="0.492125984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23</xdr:row>
      <xdr:rowOff>57150</xdr:rowOff>
    </xdr:from>
    <xdr:to>
      <xdr:col>10</xdr:col>
      <xdr:colOff>0</xdr:colOff>
      <xdr:row>56</xdr:row>
      <xdr:rowOff>85725</xdr:rowOff>
    </xdr:to>
    <xdr:graphicFrame macro="">
      <xdr:nvGraphicFramePr>
        <xdr:cNvPr id="1040" name="Chart 10">
          <a:extLst>
            <a:ext uri="{FF2B5EF4-FFF2-40B4-BE49-F238E27FC236}">
              <a16:creationId xmlns:a16="http://schemas.microsoft.com/office/drawing/2014/main" id="{00000000-0008-0000-0300-00001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abSelected="1" topLeftCell="A3" zoomScale="150" zoomScaleNormal="150" workbookViewId="0">
      <selection activeCell="I13" sqref="I13"/>
    </sheetView>
  </sheetViews>
  <sheetFormatPr baseColWidth="10" defaultRowHeight="12.75"/>
  <cols>
    <col min="1" max="1" width="5.1328125" customWidth="1"/>
    <col min="2" max="2" width="12.73046875" customWidth="1"/>
    <col min="3" max="3" width="14.86328125" customWidth="1"/>
    <col min="4" max="4" width="13" customWidth="1"/>
    <col min="5" max="5" width="14" customWidth="1"/>
    <col min="6" max="6" width="13.3984375" hidden="1" customWidth="1"/>
    <col min="7" max="7" width="14.86328125" hidden="1" customWidth="1"/>
    <col min="8" max="8" width="15" customWidth="1"/>
    <col min="9" max="9" width="12.86328125" bestFit="1" customWidth="1"/>
    <col min="10" max="10" width="14.3984375" customWidth="1"/>
  </cols>
  <sheetData>
    <row r="1" spans="1:10" ht="15.4">
      <c r="A1" s="4" t="s">
        <v>0</v>
      </c>
      <c r="C1" s="22">
        <v>60000</v>
      </c>
      <c r="E1" s="1"/>
      <c r="F1" s="1"/>
      <c r="G1" s="1"/>
      <c r="H1" s="1"/>
      <c r="I1" s="1"/>
    </row>
    <row r="2" spans="1:10" ht="15.4">
      <c r="A2" s="4" t="s">
        <v>1</v>
      </c>
      <c r="C2" s="5">
        <v>6</v>
      </c>
      <c r="E2" s="1"/>
      <c r="F2" s="1"/>
      <c r="G2" s="1"/>
      <c r="H2" s="1"/>
      <c r="I2" s="1"/>
    </row>
    <row r="3" spans="1:10" ht="15.4">
      <c r="A3" s="4" t="s">
        <v>2</v>
      </c>
      <c r="C3" s="22">
        <f>C1/C2</f>
        <v>10000</v>
      </c>
      <c r="E3" s="1"/>
      <c r="F3" s="1"/>
      <c r="G3" s="1"/>
      <c r="H3" s="1"/>
      <c r="I3" s="1"/>
    </row>
    <row r="4" spans="1:10" ht="15.4">
      <c r="A4" s="4" t="s">
        <v>3</v>
      </c>
      <c r="C4" s="6">
        <v>25</v>
      </c>
      <c r="E4" s="1"/>
      <c r="F4" s="1"/>
      <c r="G4" s="1"/>
      <c r="H4" s="1"/>
      <c r="I4" s="1"/>
    </row>
    <row r="5" spans="1:10" ht="15.75" thickBot="1">
      <c r="A5" s="1"/>
      <c r="B5" s="1"/>
      <c r="C5" s="1"/>
      <c r="D5" s="1"/>
      <c r="E5" s="1"/>
      <c r="F5" s="1"/>
      <c r="G5" s="1"/>
      <c r="H5" s="1"/>
      <c r="I5" s="1"/>
    </row>
    <row r="6" spans="1:10" ht="15">
      <c r="A6" s="11"/>
      <c r="B6" s="7" t="s">
        <v>4</v>
      </c>
      <c r="C6" s="13"/>
      <c r="D6" s="7" t="s">
        <v>5</v>
      </c>
      <c r="E6" s="13"/>
      <c r="F6" s="17" t="s">
        <v>6</v>
      </c>
      <c r="G6" s="13"/>
      <c r="H6" s="14"/>
      <c r="I6" s="15" t="s">
        <v>7</v>
      </c>
      <c r="J6" s="16"/>
    </row>
    <row r="7" spans="1:10" ht="48" customHeight="1" thickBot="1">
      <c r="A7" s="12" t="s">
        <v>8</v>
      </c>
      <c r="B7" s="8" t="s">
        <v>9</v>
      </c>
      <c r="C7" s="10" t="s">
        <v>10</v>
      </c>
      <c r="D7" s="8" t="s">
        <v>9</v>
      </c>
      <c r="E7" s="10" t="s">
        <v>10</v>
      </c>
      <c r="F7" s="8" t="s">
        <v>9</v>
      </c>
      <c r="G7" s="10" t="s">
        <v>10</v>
      </c>
      <c r="H7" s="9" t="s">
        <v>11</v>
      </c>
      <c r="I7" s="9" t="s">
        <v>9</v>
      </c>
      <c r="J7" s="10" t="s">
        <v>10</v>
      </c>
    </row>
    <row r="8" spans="1:10" ht="30" customHeight="1">
      <c r="A8" s="18">
        <v>1</v>
      </c>
      <c r="B8" s="25">
        <f t="shared" ref="B8:B13" si="0">IF($C$2&gt;=A8,$C$1/$C$2," ")</f>
        <v>10000</v>
      </c>
      <c r="C8" s="26">
        <f>IF($C$2&gt;=A8,C1-B8," ")</f>
        <v>50000</v>
      </c>
      <c r="D8" s="25">
        <f>C1*C4/100</f>
        <v>15000</v>
      </c>
      <c r="E8" s="26">
        <f>C1-D8</f>
        <v>45000</v>
      </c>
      <c r="F8" s="19">
        <f>$C$1*$C$4/100</f>
        <v>15000</v>
      </c>
      <c r="G8" s="19">
        <f>C1-F8</f>
        <v>45000</v>
      </c>
      <c r="H8" s="31">
        <v>30000</v>
      </c>
      <c r="I8" s="29">
        <f t="shared" ref="I8:I13" si="1">$C$1/$H$14*H8</f>
        <v>8181.8181818181811</v>
      </c>
      <c r="J8" s="26">
        <f>C1-I8</f>
        <v>51818.181818181816</v>
      </c>
    </row>
    <row r="9" spans="1:10" ht="30" customHeight="1">
      <c r="A9" s="18">
        <f>A8+1</f>
        <v>2</v>
      </c>
      <c r="B9" s="25">
        <f t="shared" si="0"/>
        <v>10000</v>
      </c>
      <c r="C9" s="26">
        <f>IF($C$2&gt;=A9,C8-B9," ")</f>
        <v>40000</v>
      </c>
      <c r="D9" s="25">
        <f>IF($C$2&gt;=A9,E8*$C$4/100," ")</f>
        <v>11250</v>
      </c>
      <c r="E9" s="26">
        <f>IF($C$2&gt;=A9,E8-D9," ")</f>
        <v>33750</v>
      </c>
      <c r="F9" s="19">
        <f>IF(G8*$C$4/100&lt;G8/($C$2-A8),G8/($C$2-A8),G8*$C$4/100)</f>
        <v>11250</v>
      </c>
      <c r="G9" s="19">
        <f>G8-F9</f>
        <v>33750</v>
      </c>
      <c r="H9" s="31">
        <v>10000</v>
      </c>
      <c r="I9" s="29">
        <f t="shared" si="1"/>
        <v>2727.272727272727</v>
      </c>
      <c r="J9" s="26">
        <f>J8-I9</f>
        <v>49090.909090909088</v>
      </c>
    </row>
    <row r="10" spans="1:10" ht="30" customHeight="1">
      <c r="A10" s="18">
        <f>A9+1</f>
        <v>3</v>
      </c>
      <c r="B10" s="25">
        <f t="shared" si="0"/>
        <v>10000</v>
      </c>
      <c r="C10" s="26">
        <f>IF($C$2&gt;=A10,C9-B10," ")</f>
        <v>30000</v>
      </c>
      <c r="D10" s="25">
        <f>IF($C$2&gt;=A10,E9*$C$4/100," ")</f>
        <v>8437.5</v>
      </c>
      <c r="E10" s="26">
        <f>IF($C$2&gt;=A10,E9-D10," ")</f>
        <v>25312.5</v>
      </c>
      <c r="F10" s="19">
        <f>IF(G9*$C$4/100&lt;G9/($C$2-A9),G9/($C$2-A9),G9*$C$4/100)</f>
        <v>8437.5</v>
      </c>
      <c r="G10" s="19">
        <f>G9-F10</f>
        <v>25312.5</v>
      </c>
      <c r="H10" s="31">
        <v>40000</v>
      </c>
      <c r="I10" s="29">
        <f t="shared" si="1"/>
        <v>10909.090909090908</v>
      </c>
      <c r="J10" s="26">
        <f>J9-I10</f>
        <v>38181.818181818177</v>
      </c>
    </row>
    <row r="11" spans="1:10" ht="30" customHeight="1">
      <c r="A11" s="18">
        <f>A10+1</f>
        <v>4</v>
      </c>
      <c r="B11" s="25">
        <f t="shared" si="0"/>
        <v>10000</v>
      </c>
      <c r="C11" s="26">
        <f>IF($C$2&gt;=A11,C10-B11," ")</f>
        <v>20000</v>
      </c>
      <c r="D11" s="25">
        <f>IF($C$2&gt;=A11,E10*$C$4/100," ")</f>
        <v>6328.125</v>
      </c>
      <c r="E11" s="26">
        <f>IF($C$2&gt;=A11,E10-D11," ")</f>
        <v>18984.375</v>
      </c>
      <c r="F11" s="19">
        <f>IF(G10*$C$4/100&lt;G10/($C$2-A10),G10/($C$2-A10),G10*$C$4/100)</f>
        <v>8437.5</v>
      </c>
      <c r="G11" s="19">
        <f>G10-F11</f>
        <v>16875</v>
      </c>
      <c r="H11" s="31">
        <v>70000</v>
      </c>
      <c r="I11" s="29">
        <f t="shared" si="1"/>
        <v>19090.909090909088</v>
      </c>
      <c r="J11" s="26">
        <f>J10-I11</f>
        <v>19090.909090909088</v>
      </c>
    </row>
    <row r="12" spans="1:10" ht="30" customHeight="1">
      <c r="A12" s="18">
        <f>A11+1</f>
        <v>5</v>
      </c>
      <c r="B12" s="25">
        <f t="shared" si="0"/>
        <v>10000</v>
      </c>
      <c r="C12" s="26">
        <f>IF($C$2&gt;=A12,C11-B12," ")</f>
        <v>10000</v>
      </c>
      <c r="D12" s="25">
        <f>IF($C$2&gt;=A12,E11*$C$4/100," ")</f>
        <v>4746.09375</v>
      </c>
      <c r="E12" s="26">
        <f>IF($C$2&gt;=A12,E11-D12," ")</f>
        <v>14238.28125</v>
      </c>
      <c r="F12" s="19">
        <f>IF(G11*$C$4/100&lt;G11/($C$2-A11),G11/($C$2-A11),G11*$C$4/100)</f>
        <v>8437.5</v>
      </c>
      <c r="G12" s="19">
        <f>G11-F12</f>
        <v>8437.5</v>
      </c>
      <c r="H12" s="31">
        <v>30000</v>
      </c>
      <c r="I12" s="29">
        <f t="shared" si="1"/>
        <v>8181.8181818181811</v>
      </c>
      <c r="J12" s="26">
        <f>J11-I12</f>
        <v>10909.090909090908</v>
      </c>
    </row>
    <row r="13" spans="1:10" ht="30" customHeight="1" thickBot="1">
      <c r="A13" s="20">
        <f>A12+1</f>
        <v>6</v>
      </c>
      <c r="B13" s="27">
        <f t="shared" si="0"/>
        <v>10000</v>
      </c>
      <c r="C13" s="28">
        <f>IF($C$2&gt;=A13,C12-B13," ")</f>
        <v>0</v>
      </c>
      <c r="D13" s="27">
        <f>IF($C$2&gt;=A13,E12*$C$4/100," ")</f>
        <v>3559.5703125</v>
      </c>
      <c r="E13" s="28">
        <f>IF($C$2&gt;=A13,E12-D13," ")</f>
        <v>10678.7109375</v>
      </c>
      <c r="F13" s="21">
        <f>IF(G12*$C$4/100&lt;G12/($C$2-A12),G12/($C$2-A12),G12*$C$4/100)</f>
        <v>8437.5</v>
      </c>
      <c r="G13" s="21">
        <f>G12-F13</f>
        <v>0</v>
      </c>
      <c r="H13" s="32">
        <v>40000</v>
      </c>
      <c r="I13" s="30">
        <f t="shared" si="1"/>
        <v>10909.090909090908</v>
      </c>
      <c r="J13" s="28">
        <f>J12-I13</f>
        <v>0</v>
      </c>
    </row>
    <row r="14" spans="1:10" ht="17.649999999999999">
      <c r="A14" s="3"/>
      <c r="B14" s="2"/>
      <c r="C14" s="2"/>
      <c r="D14" s="2"/>
      <c r="E14" s="2"/>
      <c r="F14" s="2"/>
      <c r="G14" s="2"/>
      <c r="H14" s="33">
        <f>SUM(H8:H13)</f>
        <v>220000</v>
      </c>
    </row>
    <row r="15" spans="1:10" ht="17.649999999999999">
      <c r="A15" s="3"/>
      <c r="B15" s="2"/>
      <c r="C15" s="2"/>
      <c r="D15" s="2"/>
      <c r="E15" s="2"/>
      <c r="F15" s="2"/>
      <c r="G15" s="2"/>
      <c r="H15" s="24" t="s">
        <v>12</v>
      </c>
      <c r="I15" s="23">
        <f>C1/H14</f>
        <v>0.27272727272727271</v>
      </c>
    </row>
    <row r="16" spans="1:10" ht="15.4">
      <c r="A16" s="3"/>
      <c r="B16" s="2"/>
      <c r="C16" s="2"/>
      <c r="D16" s="2"/>
      <c r="E16" s="2"/>
      <c r="F16" s="2"/>
      <c r="G16" s="2"/>
      <c r="H16" s="1"/>
    </row>
    <row r="17" spans="1:8" ht="15.4">
      <c r="A17" s="3"/>
      <c r="B17" s="2"/>
      <c r="C17" s="2"/>
      <c r="D17" s="2"/>
      <c r="E17" s="2"/>
      <c r="F17" s="2"/>
      <c r="G17" s="2"/>
      <c r="H17" s="1"/>
    </row>
    <row r="18" spans="1:8" ht="15.4">
      <c r="A18" s="3"/>
      <c r="B18" s="2"/>
      <c r="C18" s="2"/>
      <c r="D18" s="2"/>
      <c r="E18" s="2"/>
      <c r="F18" s="2"/>
      <c r="G18" s="2"/>
      <c r="H18" s="1"/>
    </row>
    <row r="19" spans="1:8" ht="15.4">
      <c r="A19" s="3"/>
      <c r="B19" s="2"/>
      <c r="C19" s="2"/>
      <c r="D19" s="2"/>
      <c r="E19" s="2"/>
      <c r="F19" s="2"/>
      <c r="G19" s="2"/>
      <c r="H19" s="1"/>
    </row>
    <row r="20" spans="1:8" ht="15.4">
      <c r="A20" s="3"/>
      <c r="B20" s="2"/>
      <c r="C20" s="2"/>
      <c r="D20" s="2"/>
      <c r="E20" s="2"/>
      <c r="F20" s="2"/>
      <c r="G20" s="2"/>
      <c r="H20" s="1"/>
    </row>
    <row r="21" spans="1:8" ht="15.4">
      <c r="A21" s="3"/>
      <c r="B21" s="2"/>
      <c r="C21" s="2"/>
      <c r="D21" s="2"/>
      <c r="E21" s="2"/>
      <c r="F21" s="2"/>
      <c r="G21" s="2"/>
      <c r="H21" s="1"/>
    </row>
  </sheetData>
  <phoneticPr fontId="0" type="noConversion"/>
  <pageMargins left="0.59055118110236227" right="0.55118110236220474" top="0.98425196850393704" bottom="0.98425196850393704" header="0.51181102362204722" footer="0.51181102362204722"/>
  <pageSetup paperSize="9" orientation="landscape" horizontalDpi="4294967292" verticalDpi="4294967292" r:id="rId1"/>
  <headerFooter alignWithMargins="0">
    <oddHeader>&amp;C&amp;",Standard"&amp;14Abschreibungsmethoden
 der Anlagegüter</oddHeader>
    <oddFooter>&amp;R&amp;A 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3</vt:i4>
      </vt:variant>
    </vt:vector>
  </HeadingPairs>
  <TitlesOfParts>
    <vt:vector size="4" baseType="lpstr">
      <vt:lpstr>AFARW</vt:lpstr>
      <vt:lpstr>AFA_Diagramm_Zusatz</vt:lpstr>
      <vt:lpstr>AFA_Diagramm</vt:lpstr>
      <vt:lpstr>AFAREST_Diagramm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Peter Metzger</dc:creator>
  <cp:lastModifiedBy>Ralph Hoffmann</cp:lastModifiedBy>
  <cp:lastPrinted>2016-06-12T14:33:50Z</cp:lastPrinted>
  <dcterms:created xsi:type="dcterms:W3CDTF">2000-03-15T18:35:43Z</dcterms:created>
  <dcterms:modified xsi:type="dcterms:W3CDTF">2024-05-21T14:51:38Z</dcterms:modified>
</cp:coreProperties>
</file>