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39A0F585-ED0E-48E7-B059-99FFC387270E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Umsatzsteuer" sheetId="4" r:id="rId1"/>
    <sheet name="UST_Buchungen" sheetId="1" r:id="rId2"/>
    <sheet name="Tabelle3" sheetId="3" r:id="rId3"/>
  </sheets>
  <definedNames>
    <definedName name="OLE_LINK2" localSheetId="1">UST_Buchungen!$A$1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J32" i="1"/>
  <c r="H32" i="1" s="1"/>
  <c r="B32" i="1"/>
  <c r="D32" i="1"/>
  <c r="D30" i="1" s="1"/>
  <c r="H30" i="1" s="1"/>
  <c r="E18" i="4"/>
  <c r="H31" i="1" l="1"/>
</calcChain>
</file>

<file path=xl/sharedStrings.xml><?xml version="1.0" encoding="utf-8"?>
<sst xmlns="http://schemas.openxmlformats.org/spreadsheetml/2006/main" count="67" uniqueCount="35">
  <si>
    <t>S</t>
  </si>
  <si>
    <t>H</t>
  </si>
  <si>
    <t>Verbindlichkeiten</t>
  </si>
  <si>
    <t>Rohstoffe</t>
  </si>
  <si>
    <t>Hilfsstoffe</t>
  </si>
  <si>
    <t>Kasse</t>
  </si>
  <si>
    <t>Nettopreis  =</t>
  </si>
  <si>
    <t xml:space="preserve">Umsatzstufen </t>
  </si>
  <si>
    <t>Netto-verkaufspreis</t>
  </si>
  <si>
    <t>Warenmehrwert  (Wertschöpfung)</t>
  </si>
  <si>
    <t>Umsatzsteuer   19%</t>
  </si>
  <si>
    <t>Verbindlichkeit gegenüber FA</t>
  </si>
  <si>
    <t>Sägewerk</t>
  </si>
  <si>
    <t>Möbelwerke</t>
  </si>
  <si>
    <r>
      <t>Kunde</t>
    </r>
    <r>
      <rPr>
        <sz val="12"/>
        <rFont val="Arial"/>
        <family val="2"/>
      </rPr>
      <t xml:space="preserve"> (Endverbraucher)</t>
    </r>
  </si>
  <si>
    <t>Sollkonto</t>
  </si>
  <si>
    <t>Habenkonto</t>
  </si>
  <si>
    <t>Sollbetrag in T€</t>
  </si>
  <si>
    <t>Habenbetrag in T€</t>
  </si>
  <si>
    <t>Lfd. Nr.</t>
  </si>
  <si>
    <t>1.</t>
  </si>
  <si>
    <t>2.</t>
  </si>
  <si>
    <t>3.</t>
  </si>
  <si>
    <t>Das Buchen der Umsatzsteuer</t>
  </si>
  <si>
    <t>Forderungen</t>
  </si>
  <si>
    <t>Umsatzerlöse</t>
  </si>
  <si>
    <t>Vorsteuer</t>
  </si>
  <si>
    <t>Umsatzsteuer</t>
  </si>
  <si>
    <t>AB</t>
  </si>
  <si>
    <t>Hilfstoffe</t>
  </si>
  <si>
    <t>Saldo</t>
  </si>
  <si>
    <t>Zahllast</t>
  </si>
  <si>
    <t>Forstbetrieb</t>
  </si>
  <si>
    <t>Einrichtungs-haus (Handel)</t>
  </si>
  <si>
    <t>Das System der Umsatzsteuer (vgl. B.S. 75 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</si>
</sst>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5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sz val="28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24"/>
      <name val="Arial"/>
      <family val="2"/>
    </font>
    <font>
      <sz val="16"/>
      <color rgb="FFFF0000"/>
      <name val="Arial"/>
      <family val="2"/>
    </font>
    <font>
      <sz val="16"/>
      <color theme="3"/>
      <name val="Arial"/>
      <family val="2"/>
    </font>
    <font>
      <b/>
      <sz val="12"/>
      <color rgb="FFFF0000"/>
      <name val="Times New Roman"/>
      <family val="1"/>
    </font>
    <font>
      <b/>
      <sz val="12"/>
      <color rgb="FFFF0000"/>
      <name val="Arial"/>
      <family val="2"/>
    </font>
    <font>
      <b/>
      <sz val="12"/>
      <color theme="6" tint="-0.249977111117893"/>
      <name val="Arial"/>
      <family val="2"/>
    </font>
    <font>
      <b/>
      <sz val="12"/>
      <color theme="6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vertical="top" wrapText="1"/>
    </xf>
    <xf numFmtId="164" fontId="6" fillId="0" borderId="7" xfId="0" applyNumberFormat="1" applyFont="1" applyBorder="1"/>
    <xf numFmtId="164" fontId="9" fillId="0" borderId="7" xfId="0" applyNumberFormat="1" applyFont="1" applyBorder="1"/>
    <xf numFmtId="0" fontId="0" fillId="0" borderId="7" xfId="0" applyBorder="1"/>
    <xf numFmtId="0" fontId="3" fillId="0" borderId="7" xfId="0" applyFont="1" applyBorder="1"/>
    <xf numFmtId="0" fontId="8" fillId="0" borderId="0" xfId="0" applyFont="1"/>
    <xf numFmtId="4" fontId="1" fillId="0" borderId="0" xfId="0" applyNumberFormat="1" applyFont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7" fillId="0" borderId="0" xfId="0" applyFont="1"/>
    <xf numFmtId="164" fontId="10" fillId="0" borderId="7" xfId="0" applyNumberFormat="1" applyFont="1" applyBorder="1"/>
    <xf numFmtId="0" fontId="0" fillId="0" borderId="8" xfId="0" applyBorder="1"/>
    <xf numFmtId="0" fontId="0" fillId="0" borderId="9" xfId="0" applyBorder="1"/>
    <xf numFmtId="4" fontId="11" fillId="0" borderId="0" xfId="0" applyNumberFormat="1" applyFont="1"/>
    <xf numFmtId="0" fontId="11" fillId="0" borderId="0" xfId="0" applyFont="1"/>
    <xf numFmtId="4" fontId="12" fillId="0" borderId="1" xfId="0" applyNumberFormat="1" applyFont="1" applyBorder="1"/>
    <xf numFmtId="0" fontId="1" fillId="0" borderId="2" xfId="0" applyFont="1" applyBorder="1"/>
    <xf numFmtId="4" fontId="7" fillId="0" borderId="3" xfId="0" applyNumberFormat="1" applyFont="1" applyBorder="1"/>
    <xf numFmtId="4" fontId="1" fillId="0" borderId="2" xfId="0" applyNumberFormat="1" applyFont="1" applyBorder="1"/>
    <xf numFmtId="0" fontId="1" fillId="0" borderId="4" xfId="0" applyFont="1" applyBorder="1"/>
    <xf numFmtId="4" fontId="7" fillId="0" borderId="5" xfId="0" applyNumberFormat="1" applyFont="1" applyBorder="1"/>
    <xf numFmtId="4" fontId="1" fillId="0" borderId="4" xfId="0" applyNumberFormat="1" applyFont="1" applyBorder="1"/>
    <xf numFmtId="4" fontId="13" fillId="0" borderId="3" xfId="0" applyNumberFormat="1" applyFont="1" applyBorder="1"/>
    <xf numFmtId="0" fontId="14" fillId="0" borderId="2" xfId="0" applyFont="1" applyBorder="1"/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85724</xdr:rowOff>
    </xdr:from>
    <xdr:to>
      <xdr:col>7</xdr:col>
      <xdr:colOff>361950</xdr:colOff>
      <xdr:row>9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725" y="685799"/>
          <a:ext cx="8601075" cy="1047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2000">
              <a:latin typeface="Arial" pitchFamily="34" charset="0"/>
              <a:cs typeface="Arial" pitchFamily="34" charset="0"/>
            </a:rPr>
            <a:t>Ein</a:t>
          </a:r>
          <a:r>
            <a:rPr lang="de-DE" sz="2000" baseline="0">
              <a:latin typeface="Arial" pitchFamily="34" charset="0"/>
              <a:cs typeface="Arial" pitchFamily="34" charset="0"/>
            </a:rPr>
            <a:t> kaufm. Angestellter kauft in einem Einrichtungsmarkt  für sein neues Arbeitszimmer eine hochwertige Bücherschrankwand zu 7.140,00 €!</a:t>
          </a:r>
        </a:p>
        <a:p>
          <a:r>
            <a:rPr lang="de-DE" sz="2000" baseline="0">
              <a:latin typeface="Arial" pitchFamily="34" charset="0"/>
              <a:cs typeface="Arial" pitchFamily="34" charset="0"/>
            </a:rPr>
            <a:t>Wie hoch ist der Nettopreis (ohne Umsatzsteuer) für diese Schrankwand?</a:t>
          </a:r>
          <a:endParaRPr lang="de-DE" sz="20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9526</xdr:rowOff>
    </xdr:from>
    <xdr:to>
      <xdr:col>10</xdr:col>
      <xdr:colOff>619125</xdr:colOff>
      <xdr:row>7</xdr:row>
      <xdr:rowOff>87924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0" y="383199"/>
          <a:ext cx="8181975" cy="1045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600">
              <a:latin typeface="Arial" pitchFamily="34" charset="0"/>
              <a:cs typeface="Arial" pitchFamily="34" charset="0"/>
            </a:rPr>
            <a:t>Geschäftsfälle:</a:t>
          </a:r>
        </a:p>
        <a:p>
          <a:r>
            <a:rPr lang="de-DE" sz="1600">
              <a:latin typeface="Arial" pitchFamily="34" charset="0"/>
              <a:cs typeface="Arial" pitchFamily="34" charset="0"/>
            </a:rPr>
            <a:t>1. Eingangsrechnung für gehobelte Buchen</a:t>
          </a:r>
          <a:r>
            <a:rPr lang="de-DE" sz="1600" baseline="0">
              <a:latin typeface="Arial" pitchFamily="34" charset="0"/>
              <a:cs typeface="Arial" pitchFamily="34" charset="0"/>
            </a:rPr>
            <a:t>bretter, netto 3.000,00 €</a:t>
          </a:r>
        </a:p>
        <a:p>
          <a:r>
            <a:rPr lang="de-DE" sz="1600" baseline="0">
              <a:latin typeface="Arial" pitchFamily="34" charset="0"/>
              <a:cs typeface="Arial" pitchFamily="34" charset="0"/>
            </a:rPr>
            <a:t>2. Barkauf von mehreren Paketen Holzschrauben zum Rechnungspreis von 2.558,50</a:t>
          </a:r>
        </a:p>
        <a:p>
          <a:r>
            <a:rPr lang="de-DE" sz="1600" baseline="0">
              <a:latin typeface="Arial" pitchFamily="34" charset="0"/>
              <a:cs typeface="Arial" pitchFamily="34" charset="0"/>
            </a:rPr>
            <a:t>3. Ausgangsrechnung für mehrere Aktenschränke zum Gesamtnettopreis von 7.000,00 €</a:t>
          </a:r>
          <a:endParaRPr lang="de-DE" sz="16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30" zoomScaleNormal="130" workbookViewId="0"/>
  </sheetViews>
  <sheetFormatPr baseColWidth="10" defaultRowHeight="12.75" x14ac:dyDescent="0.35"/>
  <cols>
    <col min="1" max="1" width="19.1328125" customWidth="1"/>
    <col min="2" max="2" width="20.73046875" customWidth="1"/>
    <col min="3" max="3" width="24.73046875" customWidth="1"/>
    <col min="4" max="4" width="20.73046875" customWidth="1"/>
    <col min="5" max="5" width="22.59765625" customWidth="1"/>
  </cols>
  <sheetData>
    <row r="1" spans="1:12" ht="34.5" x14ac:dyDescent="0.85">
      <c r="A1" s="3" t="s">
        <v>34</v>
      </c>
    </row>
    <row r="11" spans="1:12" ht="24.75" x14ac:dyDescent="0.65">
      <c r="A11" s="4" t="s">
        <v>6</v>
      </c>
      <c r="C11" s="33">
        <f>7140/119*100</f>
        <v>6000</v>
      </c>
      <c r="D11" s="33"/>
      <c r="E11" s="33"/>
    </row>
    <row r="13" spans="1:12" ht="47.25" customHeight="1" x14ac:dyDescent="0.55000000000000004">
      <c r="A13" s="6" t="s">
        <v>7</v>
      </c>
      <c r="B13" s="7" t="s">
        <v>8</v>
      </c>
      <c r="C13" s="7" t="s">
        <v>9</v>
      </c>
      <c r="D13" s="7" t="s">
        <v>10</v>
      </c>
      <c r="E13" s="7" t="s">
        <v>11</v>
      </c>
      <c r="F13" s="5"/>
      <c r="G13" s="5"/>
      <c r="H13" s="5"/>
      <c r="I13" s="5"/>
      <c r="J13" s="5"/>
      <c r="K13" s="5"/>
      <c r="L13" s="5"/>
    </row>
    <row r="14" spans="1:12" ht="39.950000000000003" customHeight="1" x14ac:dyDescent="0.55000000000000004">
      <c r="A14" s="7" t="s">
        <v>32</v>
      </c>
      <c r="B14" s="8">
        <v>1000</v>
      </c>
      <c r="C14" s="9">
        <v>1000</v>
      </c>
      <c r="D14" s="8">
        <v>190</v>
      </c>
      <c r="E14" s="9">
        <v>190</v>
      </c>
    </row>
    <row r="15" spans="1:12" ht="39.950000000000003" customHeight="1" x14ac:dyDescent="0.55000000000000004">
      <c r="A15" s="7" t="s">
        <v>12</v>
      </c>
      <c r="B15" s="8">
        <v>1500</v>
      </c>
      <c r="C15" s="9">
        <v>500</v>
      </c>
      <c r="D15" s="8">
        <v>285</v>
      </c>
      <c r="E15" s="9">
        <v>95</v>
      </c>
    </row>
    <row r="16" spans="1:12" ht="39.950000000000003" customHeight="1" x14ac:dyDescent="0.55000000000000004">
      <c r="A16" s="7" t="s">
        <v>13</v>
      </c>
      <c r="B16" s="8">
        <v>3000</v>
      </c>
      <c r="C16" s="9">
        <v>1500</v>
      </c>
      <c r="D16" s="8">
        <v>570</v>
      </c>
      <c r="E16" s="9">
        <v>285</v>
      </c>
    </row>
    <row r="17" spans="1:5" ht="39.950000000000003" customHeight="1" x14ac:dyDescent="0.55000000000000004">
      <c r="A17" s="7" t="s">
        <v>33</v>
      </c>
      <c r="B17" s="8">
        <v>6000</v>
      </c>
      <c r="C17" s="9">
        <v>3000</v>
      </c>
      <c r="D17" s="8">
        <v>1140</v>
      </c>
      <c r="E17" s="9">
        <v>570</v>
      </c>
    </row>
    <row r="18" spans="1:5" ht="39.950000000000003" customHeight="1" x14ac:dyDescent="0.55000000000000004">
      <c r="A18" s="7" t="s">
        <v>14</v>
      </c>
      <c r="B18" s="8"/>
      <c r="C18" s="9"/>
      <c r="D18" s="19">
        <v>2145</v>
      </c>
      <c r="E18" s="9">
        <f>SUM(E14:E17)</f>
        <v>1140</v>
      </c>
    </row>
  </sheetData>
  <mergeCells count="1">
    <mergeCell ref="C11:E11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zoomScale="130" zoomScaleNormal="130" workbookViewId="0">
      <selection activeCell="I36" sqref="I36"/>
    </sheetView>
  </sheetViews>
  <sheetFormatPr baseColWidth="10" defaultRowHeight="12.75" x14ac:dyDescent="0.35"/>
  <sheetData>
    <row r="1" spans="1:9" ht="29.25" customHeight="1" x14ac:dyDescent="0.75">
      <c r="A1" s="12" t="s">
        <v>23</v>
      </c>
    </row>
    <row r="9" spans="1:9" ht="17.25" x14ac:dyDescent="0.45">
      <c r="A9" s="11" t="s">
        <v>19</v>
      </c>
      <c r="B9" s="43" t="s">
        <v>15</v>
      </c>
      <c r="C9" s="43"/>
      <c r="D9" s="43" t="s">
        <v>16</v>
      </c>
      <c r="E9" s="43"/>
      <c r="F9" s="43" t="s">
        <v>17</v>
      </c>
      <c r="G9" s="43"/>
      <c r="H9" s="43" t="s">
        <v>18</v>
      </c>
      <c r="I9" s="43"/>
    </row>
    <row r="10" spans="1:9" ht="17.25" x14ac:dyDescent="0.45">
      <c r="A10" s="10" t="s">
        <v>20</v>
      </c>
      <c r="B10" s="43" t="s">
        <v>3</v>
      </c>
      <c r="C10" s="43"/>
      <c r="D10" s="44"/>
      <c r="E10" s="45"/>
      <c r="F10" s="46">
        <v>3000</v>
      </c>
      <c r="G10" s="46"/>
      <c r="H10" s="46"/>
      <c r="I10" s="46"/>
    </row>
    <row r="11" spans="1:9" ht="17.649999999999999" thickBot="1" x14ac:dyDescent="0.5">
      <c r="A11" s="21"/>
      <c r="B11" s="34" t="s">
        <v>26</v>
      </c>
      <c r="C11" s="34"/>
      <c r="D11" s="35" t="s">
        <v>2</v>
      </c>
      <c r="E11" s="36"/>
      <c r="F11" s="37">
        <v>570</v>
      </c>
      <c r="G11" s="37"/>
      <c r="H11" s="37">
        <v>3570</v>
      </c>
      <c r="I11" s="37"/>
    </row>
    <row r="12" spans="1:9" ht="17.649999999999999" thickTop="1" x14ac:dyDescent="0.45">
      <c r="A12" s="20" t="s">
        <v>21</v>
      </c>
      <c r="B12" s="38" t="s">
        <v>29</v>
      </c>
      <c r="C12" s="38"/>
      <c r="D12" s="39" t="s">
        <v>5</v>
      </c>
      <c r="E12" s="40"/>
      <c r="F12" s="41">
        <v>2150</v>
      </c>
      <c r="G12" s="41"/>
      <c r="H12" s="41">
        <v>2558.5</v>
      </c>
      <c r="I12" s="41"/>
    </row>
    <row r="13" spans="1:9" ht="17.649999999999999" thickBot="1" x14ac:dyDescent="0.5">
      <c r="A13" s="21"/>
      <c r="B13" s="34" t="s">
        <v>26</v>
      </c>
      <c r="C13" s="34"/>
      <c r="D13" s="35"/>
      <c r="E13" s="36"/>
      <c r="F13" s="37">
        <v>408.5</v>
      </c>
      <c r="G13" s="37"/>
      <c r="H13" s="37"/>
      <c r="I13" s="37"/>
    </row>
    <row r="14" spans="1:9" ht="17.649999999999999" thickTop="1" x14ac:dyDescent="0.45">
      <c r="A14" s="20" t="s">
        <v>22</v>
      </c>
      <c r="B14" s="38" t="s">
        <v>24</v>
      </c>
      <c r="C14" s="38"/>
      <c r="D14" s="39" t="s">
        <v>25</v>
      </c>
      <c r="E14" s="40"/>
      <c r="F14" s="41">
        <v>8330</v>
      </c>
      <c r="G14" s="41"/>
      <c r="H14" s="41">
        <v>7000</v>
      </c>
      <c r="I14" s="41"/>
    </row>
    <row r="15" spans="1:9" ht="17.649999999999999" thickBot="1" x14ac:dyDescent="0.5">
      <c r="A15" s="21"/>
      <c r="B15" s="34"/>
      <c r="C15" s="34"/>
      <c r="D15" s="35" t="s">
        <v>27</v>
      </c>
      <c r="E15" s="36"/>
      <c r="F15" s="37"/>
      <c r="G15" s="37"/>
      <c r="H15" s="37">
        <v>1330</v>
      </c>
      <c r="I15" s="37"/>
    </row>
    <row r="16" spans="1:9" ht="13.15" thickTop="1" x14ac:dyDescent="0.35"/>
    <row r="17" spans="1:10" ht="15.4" thickBot="1" x14ac:dyDescent="0.45">
      <c r="A17" s="14" t="s">
        <v>0</v>
      </c>
      <c r="B17" s="42" t="s">
        <v>3</v>
      </c>
      <c r="C17" s="42"/>
      <c r="D17" s="15" t="s">
        <v>1</v>
      </c>
      <c r="E17" s="16"/>
      <c r="F17" s="16"/>
      <c r="G17" s="14" t="s">
        <v>0</v>
      </c>
      <c r="H17" s="42" t="s">
        <v>2</v>
      </c>
      <c r="I17" s="42"/>
      <c r="J17" s="15" t="s">
        <v>1</v>
      </c>
    </row>
    <row r="18" spans="1:10" ht="15.4" x14ac:dyDescent="0.45">
      <c r="A18" s="1" t="s">
        <v>20</v>
      </c>
      <c r="B18" s="17">
        <v>3000</v>
      </c>
      <c r="C18" s="1"/>
      <c r="D18" s="13"/>
      <c r="E18" s="1"/>
      <c r="F18" s="1"/>
      <c r="G18" s="1"/>
      <c r="H18" s="17"/>
      <c r="I18" s="1" t="s">
        <v>20</v>
      </c>
      <c r="J18" s="13">
        <v>3570</v>
      </c>
    </row>
    <row r="19" spans="1:10" ht="15.4" x14ac:dyDescent="0.45">
      <c r="A19" s="1"/>
      <c r="B19" s="17"/>
      <c r="C19" s="1"/>
      <c r="D19" s="13"/>
      <c r="E19" s="1"/>
      <c r="F19" s="1"/>
      <c r="G19" s="1"/>
      <c r="H19" s="17"/>
      <c r="I19" s="1"/>
      <c r="J19" s="13"/>
    </row>
    <row r="20" spans="1:10" ht="15.4" x14ac:dyDescent="0.45">
      <c r="A20" s="1"/>
      <c r="B20" s="13"/>
      <c r="C20" s="1"/>
      <c r="D20" s="13"/>
      <c r="E20" s="1"/>
      <c r="F20" s="1"/>
      <c r="G20" s="1"/>
      <c r="H20" s="1"/>
      <c r="I20" s="1"/>
      <c r="J20" s="1"/>
    </row>
    <row r="21" spans="1:10" ht="15.4" thickBot="1" x14ac:dyDescent="0.45">
      <c r="A21" s="14" t="s">
        <v>0</v>
      </c>
      <c r="B21" s="42" t="s">
        <v>4</v>
      </c>
      <c r="C21" s="42"/>
      <c r="D21" s="15" t="s">
        <v>1</v>
      </c>
      <c r="E21" s="16"/>
      <c r="F21" s="16"/>
      <c r="G21" s="14" t="s">
        <v>0</v>
      </c>
      <c r="H21" s="42" t="s">
        <v>5</v>
      </c>
      <c r="I21" s="42"/>
      <c r="J21" s="15" t="s">
        <v>1</v>
      </c>
    </row>
    <row r="22" spans="1:10" ht="15.4" x14ac:dyDescent="0.45">
      <c r="A22" s="1" t="s">
        <v>21</v>
      </c>
      <c r="B22" s="17">
        <v>2150</v>
      </c>
      <c r="C22" s="1"/>
      <c r="D22" s="13"/>
      <c r="E22" s="1"/>
      <c r="F22" s="1"/>
      <c r="G22" s="1" t="s">
        <v>28</v>
      </c>
      <c r="H22" s="17">
        <v>5000</v>
      </c>
      <c r="I22" s="1" t="s">
        <v>21</v>
      </c>
      <c r="J22" s="13">
        <v>2558</v>
      </c>
    </row>
    <row r="23" spans="1:10" ht="15.4" x14ac:dyDescent="0.45">
      <c r="A23" s="1"/>
      <c r="B23" s="17"/>
      <c r="C23" s="1"/>
      <c r="D23" s="13"/>
      <c r="E23" s="1"/>
      <c r="F23" s="1"/>
      <c r="G23" s="1"/>
      <c r="H23" s="17"/>
      <c r="I23" s="1"/>
      <c r="J23" s="13"/>
    </row>
    <row r="24" spans="1:10" ht="15.4" x14ac:dyDescent="0.45">
      <c r="A24" s="1"/>
      <c r="B24" s="18"/>
      <c r="C24" s="1"/>
      <c r="D24" s="1"/>
      <c r="E24" s="1"/>
      <c r="F24" s="1"/>
      <c r="G24" s="1"/>
      <c r="H24" s="18"/>
      <c r="I24" s="1"/>
      <c r="J24" s="1"/>
    </row>
    <row r="25" spans="1:10" ht="15.4" thickBot="1" x14ac:dyDescent="0.45">
      <c r="A25" s="14" t="s">
        <v>0</v>
      </c>
      <c r="B25" s="42" t="s">
        <v>24</v>
      </c>
      <c r="C25" s="42"/>
      <c r="D25" s="15" t="s">
        <v>1</v>
      </c>
      <c r="E25" s="16"/>
      <c r="F25" s="16"/>
      <c r="G25" s="14" t="s">
        <v>0</v>
      </c>
      <c r="H25" s="42" t="s">
        <v>25</v>
      </c>
      <c r="I25" s="42"/>
      <c r="J25" s="15" t="s">
        <v>1</v>
      </c>
    </row>
    <row r="26" spans="1:10" ht="15.4" x14ac:dyDescent="0.45">
      <c r="A26" s="1" t="s">
        <v>22</v>
      </c>
      <c r="B26" s="17">
        <v>8330</v>
      </c>
      <c r="C26" s="1"/>
      <c r="D26" s="13"/>
      <c r="E26" s="1"/>
      <c r="F26" s="1"/>
      <c r="G26" s="1"/>
      <c r="H26" s="17"/>
      <c r="I26" s="1" t="s">
        <v>22</v>
      </c>
      <c r="J26" s="13">
        <v>7000</v>
      </c>
    </row>
    <row r="27" spans="1:10" ht="15.4" x14ac:dyDescent="0.45">
      <c r="A27" s="1"/>
      <c r="B27" s="17"/>
      <c r="C27" s="1"/>
      <c r="D27" s="13"/>
      <c r="E27" s="1"/>
      <c r="F27" s="1"/>
      <c r="G27" s="1"/>
      <c r="H27" s="17"/>
      <c r="I27" s="1"/>
      <c r="J27" s="13"/>
    </row>
    <row r="28" spans="1:10" ht="15.4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4" thickBot="1" x14ac:dyDescent="0.45">
      <c r="A29" s="14" t="s">
        <v>0</v>
      </c>
      <c r="B29" s="42" t="s">
        <v>26</v>
      </c>
      <c r="C29" s="42"/>
      <c r="D29" s="15" t="s">
        <v>1</v>
      </c>
      <c r="E29" s="16"/>
      <c r="F29" s="16"/>
      <c r="G29" s="14" t="s">
        <v>0</v>
      </c>
      <c r="H29" s="42" t="s">
        <v>27</v>
      </c>
      <c r="I29" s="42"/>
      <c r="J29" s="15" t="s">
        <v>1</v>
      </c>
    </row>
    <row r="30" spans="1:10" ht="15.4" x14ac:dyDescent="0.45">
      <c r="A30" s="1" t="s">
        <v>20</v>
      </c>
      <c r="B30" s="17">
        <v>570</v>
      </c>
      <c r="C30" s="23" t="s">
        <v>30</v>
      </c>
      <c r="D30" s="22">
        <f>D32</f>
        <v>978.5</v>
      </c>
      <c r="E30" s="1"/>
      <c r="F30" s="1"/>
      <c r="G30" s="23" t="s">
        <v>30</v>
      </c>
      <c r="H30" s="24">
        <f>D30</f>
        <v>978.5</v>
      </c>
      <c r="I30" s="1" t="s">
        <v>22</v>
      </c>
      <c r="J30" s="13">
        <v>1330</v>
      </c>
    </row>
    <row r="31" spans="1:10" ht="15.4" x14ac:dyDescent="0.45">
      <c r="A31" s="25" t="s">
        <v>21</v>
      </c>
      <c r="B31" s="26">
        <v>408.5</v>
      </c>
      <c r="C31" s="25"/>
      <c r="D31" s="27"/>
      <c r="E31" s="1"/>
      <c r="F31" s="1"/>
      <c r="G31" s="32" t="s">
        <v>31</v>
      </c>
      <c r="H31" s="31">
        <f>H32-H30</f>
        <v>351.5</v>
      </c>
      <c r="I31" s="25"/>
      <c r="J31" s="27"/>
    </row>
    <row r="32" spans="1:10" ht="15.75" thickBot="1" x14ac:dyDescent="0.5">
      <c r="A32" s="28"/>
      <c r="B32" s="29">
        <f>SUM(B30:B31)</f>
        <v>978.5</v>
      </c>
      <c r="C32" s="28"/>
      <c r="D32" s="30">
        <f>B32</f>
        <v>978.5</v>
      </c>
      <c r="E32" s="1"/>
      <c r="F32" s="1"/>
      <c r="G32" s="28"/>
      <c r="H32" s="29">
        <f>J32</f>
        <v>1330</v>
      </c>
      <c r="I32" s="28"/>
      <c r="J32" s="30">
        <f>J30</f>
        <v>1330</v>
      </c>
    </row>
    <row r="33" spans="1:10" ht="15.75" thickTop="1" x14ac:dyDescent="0.45">
      <c r="A33" s="1"/>
      <c r="B33" s="17"/>
      <c r="C33" s="1"/>
      <c r="D33" s="13"/>
      <c r="E33" s="1"/>
      <c r="F33" s="1"/>
      <c r="G33" s="1"/>
      <c r="H33" s="17"/>
      <c r="I33" s="1"/>
      <c r="J33" s="13"/>
    </row>
    <row r="34" spans="1:10" ht="15.4" x14ac:dyDescent="0.45">
      <c r="A34" s="1"/>
      <c r="B34" s="17"/>
      <c r="C34" s="1"/>
      <c r="D34" s="13"/>
      <c r="E34" s="1"/>
      <c r="F34" s="1"/>
      <c r="G34" s="1"/>
      <c r="H34" s="17"/>
      <c r="I34" s="1"/>
      <c r="J34" s="13"/>
    </row>
    <row r="35" spans="1:10" ht="15.4" x14ac:dyDescent="0.45">
      <c r="A35" s="1"/>
      <c r="B35" s="2"/>
      <c r="C35" s="1"/>
      <c r="D35" s="1"/>
      <c r="E35" s="1"/>
      <c r="F35" s="1"/>
      <c r="G35" s="1"/>
      <c r="H35" s="2"/>
      <c r="I35" s="1"/>
      <c r="J35" s="1"/>
    </row>
  </sheetData>
  <mergeCells count="36">
    <mergeCell ref="B9:C9"/>
    <mergeCell ref="D9:E9"/>
    <mergeCell ref="F9:G9"/>
    <mergeCell ref="H9:I9"/>
    <mergeCell ref="B10:C10"/>
    <mergeCell ref="D10:E10"/>
    <mergeCell ref="F10:G10"/>
    <mergeCell ref="H10:I10"/>
    <mergeCell ref="B25:C25"/>
    <mergeCell ref="H25:I25"/>
    <mergeCell ref="B29:C29"/>
    <mergeCell ref="H29:I29"/>
    <mergeCell ref="B17:C17"/>
    <mergeCell ref="H17:I17"/>
    <mergeCell ref="B21:C21"/>
    <mergeCell ref="H21:I21"/>
    <mergeCell ref="B11:C11"/>
    <mergeCell ref="D11:E11"/>
    <mergeCell ref="F11:G11"/>
    <mergeCell ref="H11:I11"/>
    <mergeCell ref="B12:C12"/>
    <mergeCell ref="D12:E12"/>
    <mergeCell ref="F12:G12"/>
    <mergeCell ref="H12:I12"/>
    <mergeCell ref="B15:C15"/>
    <mergeCell ref="D15:E15"/>
    <mergeCell ref="F15:G15"/>
    <mergeCell ref="H15:I15"/>
    <mergeCell ref="B13:C13"/>
    <mergeCell ref="D13:E13"/>
    <mergeCell ref="F13:G13"/>
    <mergeCell ref="H13:I13"/>
    <mergeCell ref="B14:C14"/>
    <mergeCell ref="D14:E14"/>
    <mergeCell ref="F14:G14"/>
    <mergeCell ref="H14:I14"/>
  </mergeCells>
  <phoneticPr fontId="0" type="noConversion"/>
  <printOptions gridLines="1"/>
  <pageMargins left="0.39370078740157483" right="0.39370078740157483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Übungsausgaben</oddHeader>
    <oddFooter>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Umsatzsteuer</vt:lpstr>
      <vt:lpstr>UST_Buchungen</vt:lpstr>
      <vt:lpstr>Tabelle3</vt:lpstr>
      <vt:lpstr>UST_Buchungen!OLE_LINK2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2019-11-05T17:19:28Z</cp:lastPrinted>
  <dcterms:created xsi:type="dcterms:W3CDTF">2004-12-12T09:50:36Z</dcterms:created>
  <dcterms:modified xsi:type="dcterms:W3CDTF">2024-06-12T16:05:42Z</dcterms:modified>
</cp:coreProperties>
</file>