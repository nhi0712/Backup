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A590B61A-A174-4D83-AB39-DC91CB554E6E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BILANZD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1" l="1"/>
  <c r="H3" i="1"/>
  <c r="H20" i="1" s="1"/>
  <c r="D20" i="1"/>
  <c r="D21" i="1"/>
  <c r="H15" i="1"/>
  <c r="H21" i="1" s="1"/>
</calcChain>
</file>

<file path=xl/sharedStrings.xml><?xml version="1.0" encoding="utf-8"?>
<sst xmlns="http://schemas.openxmlformats.org/spreadsheetml/2006/main" count="39" uniqueCount="29">
  <si>
    <t>Aktiva</t>
  </si>
  <si>
    <t>Passiva</t>
  </si>
  <si>
    <t>Grundstücke und Gebäude</t>
  </si>
  <si>
    <t>TA und Maschinen,Werkzeuge</t>
  </si>
  <si>
    <t>Fuhrpark</t>
  </si>
  <si>
    <t>BGA</t>
  </si>
  <si>
    <t>Forderungen</t>
  </si>
  <si>
    <t>Vermögensstruktur</t>
  </si>
  <si>
    <t>Kapitalstruktur</t>
  </si>
  <si>
    <t>Anlagevermögen</t>
  </si>
  <si>
    <t>Eigenkapital</t>
  </si>
  <si>
    <t>Umlaufvermögen</t>
  </si>
  <si>
    <t>Fremdkapital</t>
  </si>
  <si>
    <t>A</t>
  </si>
  <si>
    <t>II</t>
  </si>
  <si>
    <t>1.</t>
  </si>
  <si>
    <t>2.</t>
  </si>
  <si>
    <t>3.</t>
  </si>
  <si>
    <t>4.</t>
  </si>
  <si>
    <t>B</t>
  </si>
  <si>
    <t>Sachanlagen</t>
  </si>
  <si>
    <t>I</t>
  </si>
  <si>
    <t>IV</t>
  </si>
  <si>
    <t>Flüssige Mittel</t>
  </si>
  <si>
    <t>Langfristige Bankverbindlichkeiten</t>
  </si>
  <si>
    <t>Vorräte (Roh-Hilfs-Betriebs-FE,UFE)</t>
  </si>
  <si>
    <t>Verbindlichkeiten aus Lief.u. Leist.</t>
  </si>
  <si>
    <t>%-Anteil</t>
  </si>
  <si>
    <t>Bilanz der Chemie AG zum 31.12.01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</si>
</sst>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MS Sans Serif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name val="MS Sans Serif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1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4" fontId="5" fillId="0" borderId="0" xfId="0" applyNumberFormat="1" applyFont="1"/>
    <xf numFmtId="4" fontId="5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2" xfId="0" applyFont="1" applyFill="1" applyBorder="1"/>
    <xf numFmtId="4" fontId="7" fillId="0" borderId="4" xfId="0" applyNumberFormat="1" applyFont="1" applyBorder="1"/>
    <xf numFmtId="4" fontId="7" fillId="0" borderId="5" xfId="0" applyNumberFormat="1" applyFont="1" applyBorder="1"/>
    <xf numFmtId="4" fontId="7" fillId="0" borderId="6" xfId="0" applyNumberFormat="1" applyFont="1" applyBorder="1"/>
    <xf numFmtId="4" fontId="7" fillId="0" borderId="7" xfId="0" applyNumberFormat="1" applyFont="1" applyBorder="1"/>
    <xf numFmtId="4" fontId="9" fillId="0" borderId="0" xfId="0" applyNumberFormat="1" applyFont="1"/>
    <xf numFmtId="4" fontId="10" fillId="0" borderId="0" xfId="0" applyNumberFormat="1" applyFont="1"/>
    <xf numFmtId="4" fontId="9" fillId="0" borderId="1" xfId="0" applyNumberFormat="1" applyFont="1" applyBorder="1"/>
    <xf numFmtId="0" fontId="11" fillId="0" borderId="0" xfId="0" applyFont="1"/>
    <xf numFmtId="0" fontId="12" fillId="0" borderId="8" xfId="0" applyFont="1" applyBorder="1"/>
    <xf numFmtId="0" fontId="13" fillId="0" borderId="8" xfId="0" applyFont="1" applyBorder="1"/>
    <xf numFmtId="0" fontId="13" fillId="0" borderId="0" xfId="0" applyFont="1"/>
    <xf numFmtId="4" fontId="7" fillId="0" borderId="0" xfId="0" applyNumberFormat="1" applyFont="1"/>
    <xf numFmtId="0" fontId="3" fillId="0" borderId="9" xfId="0" applyFont="1" applyBorder="1"/>
    <xf numFmtId="0" fontId="3" fillId="0" borderId="10" xfId="0" applyFont="1" applyBorder="1"/>
    <xf numFmtId="0" fontId="2" fillId="2" borderId="11" xfId="0" applyFont="1" applyFill="1" applyBorder="1"/>
    <xf numFmtId="164" fontId="3" fillId="0" borderId="11" xfId="0" applyNumberFormat="1" applyFont="1" applyBorder="1"/>
    <xf numFmtId="164" fontId="3" fillId="0" borderId="12" xfId="0" applyNumberFormat="1" applyFont="1" applyBorder="1"/>
    <xf numFmtId="0" fontId="8" fillId="2" borderId="2" xfId="0" applyFont="1" applyFill="1" applyBorder="1"/>
    <xf numFmtId="0" fontId="8" fillId="2" borderId="9" xfId="0" applyFont="1" applyFill="1" applyBorder="1"/>
    <xf numFmtId="0" fontId="8" fillId="2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6</xdr:row>
      <xdr:rowOff>9525</xdr:rowOff>
    </xdr:from>
    <xdr:to>
      <xdr:col>7</xdr:col>
      <xdr:colOff>1209675</xdr:colOff>
      <xdr:row>13</xdr:row>
      <xdr:rowOff>257175</xdr:rowOff>
    </xdr:to>
    <xdr:sp macro="" textlink="">
      <xdr:nvSpPr>
        <xdr:cNvPr id="1030" name="Line 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ShapeType="1"/>
        </xdr:cNvSpPr>
      </xdr:nvSpPr>
      <xdr:spPr bwMode="auto">
        <a:xfrm flipV="1">
          <a:off x="4686300" y="1495425"/>
          <a:ext cx="4591050" cy="209550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topLeftCell="B1" zoomScale="120" zoomScaleNormal="120" workbookViewId="0">
      <selection activeCell="C3" sqref="C3"/>
    </sheetView>
  </sheetViews>
  <sheetFormatPr baseColWidth="10" defaultColWidth="11.42578125" defaultRowHeight="13.15" x14ac:dyDescent="0.4"/>
  <cols>
    <col min="1" max="1" width="3.7109375" style="1" customWidth="1"/>
    <col min="2" max="2" width="40.7109375" style="1" customWidth="1"/>
    <col min="3" max="3" width="6.7109375" style="1" customWidth="1"/>
    <col min="4" max="4" width="18.7109375" style="1" customWidth="1"/>
    <col min="5" max="5" width="3.7109375" style="1" customWidth="1"/>
    <col min="6" max="6" width="40.7109375" style="1" customWidth="1"/>
    <col min="7" max="7" width="6.7109375" style="1" customWidth="1"/>
    <col min="8" max="8" width="18.7109375" style="1" customWidth="1"/>
    <col min="9" max="9" width="10.85546875" style="1" customWidth="1"/>
    <col min="10" max="16384" width="11.42578125" style="1"/>
  </cols>
  <sheetData>
    <row r="1" spans="1:8" ht="12" customHeight="1" x14ac:dyDescent="0.65">
      <c r="B1" s="30"/>
    </row>
    <row r="2" spans="1:8" s="33" customFormat="1" ht="23.25" thickBot="1" x14ac:dyDescent="0.7">
      <c r="A2" s="31" t="s">
        <v>0</v>
      </c>
      <c r="B2" s="31"/>
      <c r="C2" s="31" t="s">
        <v>28</v>
      </c>
      <c r="E2" s="31"/>
      <c r="F2" s="32"/>
      <c r="G2" s="32"/>
      <c r="H2" s="31" t="s">
        <v>1</v>
      </c>
    </row>
    <row r="3" spans="1:8" ht="20.25" x14ac:dyDescent="0.55000000000000004">
      <c r="A3" s="19" t="s">
        <v>13</v>
      </c>
      <c r="B3" s="2" t="s">
        <v>9</v>
      </c>
      <c r="D3" s="23"/>
      <c r="E3" s="19" t="s">
        <v>13</v>
      </c>
      <c r="F3" s="2" t="s">
        <v>10</v>
      </c>
      <c r="G3" s="4"/>
      <c r="H3" s="27">
        <f>D15-H5-H6</f>
        <v>1447200</v>
      </c>
    </row>
    <row r="4" spans="1:8" ht="20.25" x14ac:dyDescent="0.55000000000000004">
      <c r="A4" s="19" t="s">
        <v>14</v>
      </c>
      <c r="B4" s="2" t="s">
        <v>20</v>
      </c>
      <c r="D4" s="24"/>
      <c r="E4" s="19" t="s">
        <v>19</v>
      </c>
      <c r="F4" s="2" t="s">
        <v>12</v>
      </c>
      <c r="G4" s="4"/>
      <c r="H4" s="27"/>
    </row>
    <row r="5" spans="1:8" ht="20.25" x14ac:dyDescent="0.55000000000000004">
      <c r="A5" s="18" t="s">
        <v>15</v>
      </c>
      <c r="B5" s="20" t="s">
        <v>2</v>
      </c>
      <c r="C5" s="4"/>
      <c r="D5" s="24">
        <v>830000</v>
      </c>
      <c r="E5" s="18" t="s">
        <v>15</v>
      </c>
      <c r="F5" s="18" t="s">
        <v>24</v>
      </c>
      <c r="G5" s="4"/>
      <c r="H5" s="27">
        <v>1690000</v>
      </c>
    </row>
    <row r="6" spans="1:8" ht="20.25" x14ac:dyDescent="0.55000000000000004">
      <c r="A6" s="18" t="s">
        <v>16</v>
      </c>
      <c r="B6" s="20" t="s">
        <v>3</v>
      </c>
      <c r="C6" s="4"/>
      <c r="D6" s="24">
        <v>390000</v>
      </c>
      <c r="E6" s="18" t="s">
        <v>16</v>
      </c>
      <c r="F6" s="18" t="s">
        <v>26</v>
      </c>
      <c r="G6" s="4"/>
      <c r="H6" s="27">
        <v>201000</v>
      </c>
    </row>
    <row r="7" spans="1:8" ht="20.25" x14ac:dyDescent="0.55000000000000004">
      <c r="A7" s="18" t="s">
        <v>17</v>
      </c>
      <c r="B7" s="20" t="s">
        <v>4</v>
      </c>
      <c r="C7" s="4"/>
      <c r="D7" s="24">
        <v>140000</v>
      </c>
      <c r="E7" s="18"/>
      <c r="F7" s="3"/>
      <c r="G7" s="4"/>
      <c r="H7" s="28"/>
    </row>
    <row r="8" spans="1:8" ht="20.25" x14ac:dyDescent="0.55000000000000004">
      <c r="A8" s="18" t="s">
        <v>18</v>
      </c>
      <c r="B8" s="20" t="s">
        <v>5</v>
      </c>
      <c r="C8" s="4"/>
      <c r="D8" s="24">
        <v>130000</v>
      </c>
      <c r="E8" s="18"/>
      <c r="F8" s="3"/>
      <c r="G8" s="4"/>
      <c r="H8" s="28"/>
    </row>
    <row r="9" spans="1:8" ht="20.25" x14ac:dyDescent="0.55000000000000004">
      <c r="A9" s="19"/>
      <c r="B9" s="21"/>
      <c r="C9" s="4"/>
      <c r="D9" s="24"/>
      <c r="E9" s="19"/>
      <c r="F9" s="3"/>
      <c r="G9" s="4"/>
      <c r="H9" s="28"/>
    </row>
    <row r="10" spans="1:8" ht="20.25" x14ac:dyDescent="0.55000000000000004">
      <c r="A10" s="19" t="s">
        <v>19</v>
      </c>
      <c r="B10" s="2" t="s">
        <v>11</v>
      </c>
      <c r="C10" s="4"/>
      <c r="D10" s="24"/>
      <c r="E10" s="19"/>
      <c r="F10"/>
      <c r="G10"/>
      <c r="H10" s="28"/>
    </row>
    <row r="11" spans="1:8" ht="20.25" x14ac:dyDescent="0.55000000000000004">
      <c r="A11" s="19" t="s">
        <v>21</v>
      </c>
      <c r="B11" s="18" t="s">
        <v>25</v>
      </c>
      <c r="C11" s="4"/>
      <c r="D11" s="24">
        <v>1430000</v>
      </c>
      <c r="E11" s="19"/>
      <c r="F11"/>
      <c r="G11"/>
      <c r="H11" s="28"/>
    </row>
    <row r="12" spans="1:8" ht="20.25" x14ac:dyDescent="0.55000000000000004">
      <c r="A12" s="19" t="s">
        <v>14</v>
      </c>
      <c r="B12" s="18" t="s">
        <v>6</v>
      </c>
      <c r="C12" s="4"/>
      <c r="D12" s="24">
        <v>201000</v>
      </c>
      <c r="E12" s="19"/>
      <c r="G12" s="4"/>
      <c r="H12" s="27"/>
    </row>
    <row r="13" spans="1:8" ht="20.25" x14ac:dyDescent="0.55000000000000004">
      <c r="A13" s="19" t="s">
        <v>22</v>
      </c>
      <c r="B13" s="18" t="s">
        <v>23</v>
      </c>
      <c r="C13" s="4"/>
      <c r="D13" s="24">
        <v>217200</v>
      </c>
      <c r="E13" s="19"/>
      <c r="G13" s="4"/>
      <c r="H13" s="27"/>
    </row>
    <row r="14" spans="1:8" ht="20.65" thickBot="1" x14ac:dyDescent="0.6">
      <c r="A14" s="19"/>
      <c r="B14" s="3"/>
      <c r="C14" s="4"/>
      <c r="D14" s="25"/>
      <c r="E14" s="16"/>
      <c r="G14" s="4"/>
      <c r="H14" s="27"/>
    </row>
    <row r="15" spans="1:8" ht="20.65" thickBot="1" x14ac:dyDescent="0.6">
      <c r="A15" s="5"/>
      <c r="B15" s="5"/>
      <c r="C15" s="5"/>
      <c r="D15" s="26">
        <f>SUM(D5:D14)</f>
        <v>3338200</v>
      </c>
      <c r="E15" s="17"/>
      <c r="F15" s="6"/>
      <c r="G15" s="5"/>
      <c r="H15" s="29">
        <f>D15</f>
        <v>3338200</v>
      </c>
    </row>
    <row r="16" spans="1:8" ht="20.65" thickTop="1" x14ac:dyDescent="0.55000000000000004">
      <c r="A16" s="4"/>
      <c r="B16" s="4"/>
      <c r="C16" s="4"/>
      <c r="D16" s="34"/>
      <c r="E16" s="16"/>
      <c r="G16" s="4"/>
      <c r="H16" s="27"/>
    </row>
    <row r="17" spans="1:8" ht="20.25" x14ac:dyDescent="0.55000000000000004">
      <c r="A17" s="4"/>
      <c r="B17" s="4"/>
      <c r="C17" s="4"/>
      <c r="D17" s="34"/>
      <c r="E17" s="16"/>
      <c r="G17" s="4"/>
      <c r="H17" s="27"/>
    </row>
    <row r="18" spans="1:8" ht="20.25" x14ac:dyDescent="0.55000000000000004">
      <c r="A18" s="4"/>
      <c r="B18" s="4"/>
      <c r="C18" s="4"/>
      <c r="D18" s="34"/>
      <c r="E18" s="16"/>
      <c r="G18" s="4"/>
      <c r="H18" s="27"/>
    </row>
    <row r="19" spans="1:8" ht="19.899999999999999" x14ac:dyDescent="0.5">
      <c r="A19" s="22"/>
      <c r="B19" s="41" t="s">
        <v>7</v>
      </c>
      <c r="C19" s="37"/>
      <c r="D19" s="42" t="s">
        <v>27</v>
      </c>
      <c r="E19" s="22"/>
      <c r="F19" s="40" t="s">
        <v>8</v>
      </c>
      <c r="G19" s="22"/>
      <c r="H19" s="42" t="s">
        <v>27</v>
      </c>
    </row>
    <row r="20" spans="1:8" ht="17.25" x14ac:dyDescent="0.45">
      <c r="A20" s="11"/>
      <c r="B20" s="35" t="s">
        <v>9</v>
      </c>
      <c r="C20" s="38"/>
      <c r="D20" s="11">
        <f>(D5+D6+D7+D8)/D15*100</f>
        <v>44.634833143610329</v>
      </c>
      <c r="E20" s="11"/>
      <c r="F20" s="7" t="s">
        <v>10</v>
      </c>
      <c r="G20" s="8"/>
      <c r="H20" s="8">
        <f>H3/H15*100</f>
        <v>43.352705050626085</v>
      </c>
    </row>
    <row r="21" spans="1:8" ht="17.649999999999999" thickBot="1" x14ac:dyDescent="0.5">
      <c r="A21" s="12"/>
      <c r="B21" s="36" t="s">
        <v>11</v>
      </c>
      <c r="C21" s="39"/>
      <c r="D21" s="12">
        <f>(D11+D12+D13+D14)/D15*100</f>
        <v>55.365166856389671</v>
      </c>
      <c r="E21" s="12"/>
      <c r="F21" s="9" t="s">
        <v>12</v>
      </c>
      <c r="G21" s="10"/>
      <c r="H21" s="10">
        <f>(H5+H6)/H15*100</f>
        <v>56.647294949373915</v>
      </c>
    </row>
    <row r="22" spans="1:8" ht="18" customHeight="1" thickTop="1" x14ac:dyDescent="0.45">
      <c r="B22" s="13"/>
      <c r="C22" s="13"/>
      <c r="D22" s="15"/>
      <c r="E22" s="15"/>
    </row>
    <row r="23" spans="1:8" ht="17.25" x14ac:dyDescent="0.45">
      <c r="B23" s="13"/>
      <c r="C23" s="14"/>
      <c r="D23" s="15"/>
      <c r="E23" s="15"/>
    </row>
    <row r="24" spans="1:8" ht="17.25" x14ac:dyDescent="0.45">
      <c r="B24" s="13"/>
      <c r="C24" s="13"/>
      <c r="D24" s="15"/>
      <c r="E24" s="15"/>
    </row>
    <row r="25" spans="1:8" ht="17.25" x14ac:dyDescent="0.45">
      <c r="B25" s="13"/>
      <c r="C25" s="13"/>
      <c r="D25" s="15"/>
      <c r="E25" s="15"/>
    </row>
  </sheetData>
  <phoneticPr fontId="0" type="noConversion"/>
  <pageMargins left="0.59055118110236227" right="0.39370078740157483" top="0.98425196850393704" bottom="0.78740157480314965" header="0.51181102362204722" footer="0.51181102362204722"/>
  <pageSetup paperSize="9" scale="97" orientation="landscape" horizontalDpi="120" verticalDpi="144" r:id="rId1"/>
  <headerFooter alignWithMargins="0">
    <oddHeader>&amp;L&amp;"MS Sans Serif,Fett"&amp;18Beispiel für eine gegliederte Bilanz (lt. HGB § 242 u. 266)</oddHeader>
    <oddFooter>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BILANZD2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Peter Metzger</dc:creator>
  <cp:lastModifiedBy>Ralph Hoffmann</cp:lastModifiedBy>
  <cp:lastPrinted>2009-12-04T13:52:17Z</cp:lastPrinted>
  <dcterms:created xsi:type="dcterms:W3CDTF">2001-08-22T15:35:38Z</dcterms:created>
  <dcterms:modified xsi:type="dcterms:W3CDTF">2024-05-21T10:04:59Z</dcterms:modified>
</cp:coreProperties>
</file>